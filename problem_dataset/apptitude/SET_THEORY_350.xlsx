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Questions" sheetId="1" state="visible" r:id="rId1"/>
    <sheet xmlns:r="http://schemas.openxmlformats.org/officeDocument/2006/relationships" name="Easy (114)" sheetId="2" state="visible" r:id="rId2"/>
    <sheet xmlns:r="http://schemas.openxmlformats.org/officeDocument/2006/relationships" name="Medium (116)" sheetId="3" state="visible" r:id="rId3"/>
    <sheet xmlns:r="http://schemas.openxmlformats.org/officeDocument/2006/relationships" name="Hard (120)" sheetId="4" state="visible" r:id="rId4"/>
    <sheet xmlns:r="http://schemas.openxmlformats.org/officeDocument/2006/relationships" name="Summary" sheetId="5" state="visible" r:id="rId5"/>
  </sheets>
  <definedNames>
    <definedName name="_xlnm._FilterDatabase" localSheetId="0" hidden="1">'All Questions'!$A$1:$J$351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1"/>
    </font>
    <font>
      <name val="Arial"/>
      <sz val="10"/>
    </font>
    <font>
      <name val="Arial"/>
      <b val="1"/>
      <color rgb="00833C00"/>
      <sz val="10"/>
    </font>
    <font>
      <name val="Arial"/>
      <b val="1"/>
      <color rgb="001F4E79"/>
      <sz val="11"/>
    </font>
    <font>
      <name val="Arial"/>
      <i val="1"/>
      <color rgb="00404040"/>
      <sz val="9"/>
    </font>
    <font>
      <name val="Arial"/>
      <b val="1"/>
      <color rgb="00375623"/>
      <sz val="10"/>
    </font>
    <font>
      <name val="Arial"/>
      <b val="1"/>
      <color rgb="007F6000"/>
      <sz val="10"/>
    </font>
    <font>
      <name val="Arial"/>
      <b val="1"/>
      <color rgb="00FFFFFF"/>
      <sz val="13"/>
    </font>
    <font>
      <name val="Arial"/>
      <b val="1"/>
      <color rgb="00FFFFFF"/>
      <sz val="15"/>
    </font>
    <font>
      <name val="Arial"/>
      <b val="1"/>
      <sz val="10"/>
    </font>
    <font>
      <name val="Arial"/>
      <i val="1"/>
      <color rgb="00888888"/>
      <sz val="9"/>
    </font>
    <font>
      <name val="Arial"/>
      <color rgb="00555555"/>
      <sz val="9"/>
    </font>
  </fonts>
  <fills count="11">
    <fill>
      <patternFill/>
    </fill>
    <fill>
      <patternFill patternType="gray125"/>
    </fill>
    <fill>
      <patternFill patternType="solid">
        <fgColor rgb="001F4E79"/>
        <bgColor rgb="001F4E79"/>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375623"/>
        <bgColor rgb="00375623"/>
      </patternFill>
    </fill>
    <fill>
      <patternFill patternType="solid">
        <fgColor rgb="007F6000"/>
        <bgColor rgb="007F6000"/>
      </patternFill>
    </fill>
    <fill>
      <patternFill patternType="solid">
        <fgColor rgb="00833C00"/>
        <bgColor rgb="00833C00"/>
      </patternFill>
    </fill>
    <fill>
      <patternFill patternType="solid">
        <fgColor rgb="00FFFFFF"/>
      </patternFill>
    </fill>
    <fill>
      <patternFill patternType="solid">
        <fgColor rgb="00EEF4FB"/>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2" fillId="3" borderId="1" applyAlignment="1" pivotButton="0" quotePrefix="0" xfId="0">
      <alignment horizontal="left"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6" fillId="4" borderId="1" applyAlignment="1" pivotButton="0" quotePrefix="0" xfId="0">
      <alignment horizontal="center" vertical="center"/>
    </xf>
    <xf numFmtId="0" fontId="2" fillId="4" borderId="1" applyAlignment="1" pivotButton="0" quotePrefix="0" xfId="0">
      <alignment horizontal="left"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7" fillId="5" borderId="1" applyAlignment="1" pivotButton="0" quotePrefix="0" xfId="0">
      <alignment horizontal="center" vertical="center"/>
    </xf>
    <xf numFmtId="0" fontId="2" fillId="5"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wrapText="1"/>
    </xf>
    <xf numFmtId="0" fontId="8" fillId="6" borderId="0" applyAlignment="1" pivotButton="0" quotePrefix="0" xfId="0">
      <alignment horizontal="center" vertical="center"/>
    </xf>
    <xf numFmtId="0" fontId="8" fillId="7" borderId="0" applyAlignment="1" pivotButton="0" quotePrefix="0" xfId="0">
      <alignment horizontal="center" vertical="center"/>
    </xf>
    <xf numFmtId="0" fontId="8" fillId="8" borderId="0" applyAlignment="1" pivotButton="0" quotePrefix="0" xfId="0">
      <alignment horizontal="center" vertical="center"/>
    </xf>
    <xf numFmtId="0" fontId="9" fillId="2" borderId="0" applyAlignment="1" pivotButton="0" quotePrefix="0" xfId="0">
      <alignment horizontal="center" vertical="center"/>
    </xf>
    <xf numFmtId="0" fontId="1" fillId="2" borderId="1" applyAlignment="1" pivotButton="0" quotePrefix="0" xfId="0">
      <alignment horizontal="center" vertical="center"/>
    </xf>
    <xf numFmtId="0" fontId="2" fillId="9" borderId="1" applyAlignment="1" pivotButton="0" quotePrefix="0" xfId="0">
      <alignment horizontal="left" vertical="center"/>
    </xf>
    <xf numFmtId="0" fontId="2" fillId="9" borderId="1" applyAlignment="1" pivotButton="0" quotePrefix="0" xfId="0">
      <alignment horizontal="center" vertical="center"/>
    </xf>
    <xf numFmtId="0" fontId="10" fillId="9" borderId="1" applyAlignment="1" pivotButton="0" quotePrefix="0" xfId="0">
      <alignment horizontal="center" vertical="center"/>
    </xf>
    <xf numFmtId="0" fontId="2" fillId="10" borderId="1" applyAlignment="1" pivotButton="0" quotePrefix="0" xfId="0">
      <alignment horizontal="left" vertical="center"/>
    </xf>
    <xf numFmtId="0" fontId="2" fillId="10" borderId="1" applyAlignment="1" pivotButton="0" quotePrefix="0" xfId="0">
      <alignment horizontal="center" vertical="center"/>
    </xf>
    <xf numFmtId="0" fontId="10" fillId="10" borderId="1" applyAlignment="1" pivotButton="0" quotePrefix="0" xfId="0">
      <alignment horizontal="center" vertical="center"/>
    </xf>
    <xf numFmtId="0" fontId="1" fillId="2" borderId="1" applyAlignment="1" pivotButton="0" quotePrefix="0" xfId="0">
      <alignment horizontal="left" vertical="center"/>
    </xf>
    <xf numFmtId="0" fontId="11"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2" customHeight="1">
      <c r="A1" s="1" t="inlineStr">
        <is>
          <t>Q.No</t>
        </is>
      </c>
      <c r="B1" s="1" t="inlineStr">
        <is>
          <t>Level</t>
        </is>
      </c>
      <c r="C1" s="1" t="inlineStr">
        <is>
          <t>Sub-Topic</t>
        </is>
      </c>
      <c r="D1" s="1" t="inlineStr">
        <is>
          <t>Question</t>
        </is>
      </c>
      <c r="E1" s="1" t="inlineStr">
        <is>
          <t>Option A</t>
        </is>
      </c>
      <c r="F1" s="1" t="inlineStr">
        <is>
          <t>Option B</t>
        </is>
      </c>
      <c r="G1" s="1" t="inlineStr">
        <is>
          <t>Option C</t>
        </is>
      </c>
      <c r="H1" s="1" t="inlineStr">
        <is>
          <t>Option D</t>
        </is>
      </c>
      <c r="I1" s="1" t="inlineStr">
        <is>
          <t>Answer</t>
        </is>
      </c>
      <c r="J1" s="1" t="inlineStr">
        <is>
          <t>Explanation</t>
        </is>
      </c>
    </row>
    <row r="2" ht="42" customHeight="1">
      <c r="A2" s="2" t="n">
        <v>1</v>
      </c>
      <c r="B2" s="3" t="inlineStr">
        <is>
          <t>Hard</t>
        </is>
      </c>
      <c r="C2" s="4" t="inlineStr">
        <is>
          <t>Application-based Set Theory Problems</t>
        </is>
      </c>
      <c r="D2" s="4" t="inlineStr">
        <is>
          <t>If A = {1, 2, 3} and B = {2, 4, 6}, find the number of elements in (A ∪ B) - (A ∩ B).</t>
        </is>
      </c>
      <c r="E2" s="4" t="inlineStr">
        <is>
          <t>5</t>
        </is>
      </c>
      <c r="F2" s="4" t="inlineStr">
        <is>
          <t>7</t>
        </is>
      </c>
      <c r="G2" s="4" t="inlineStr">
        <is>
          <t>9</t>
        </is>
      </c>
      <c r="H2" s="4" t="inlineStr">
        <is>
          <t>11</t>
        </is>
      </c>
      <c r="I2" s="5" t="inlineStr">
        <is>
          <t>D</t>
        </is>
      </c>
      <c r="J2" s="6" t="inlineStr">
        <is>
          <t>Use set operations to solve.</t>
        </is>
      </c>
    </row>
    <row r="3" ht="42" customHeight="1">
      <c r="A3" s="2" t="n">
        <v>2</v>
      </c>
      <c r="B3" s="3" t="inlineStr">
        <is>
          <t>Hard</t>
        </is>
      </c>
      <c r="C3" s="4" t="inlineStr">
        <is>
          <t>Application-based Set Theory Problems</t>
        </is>
      </c>
      <c r="D3" s="4" t="inlineStr">
        <is>
          <t>Let R be a relation on the set A = {1, 2, 3} defined by R = {(1, 1), (1, 2), (2, 3)}. Find the number of equivalence classes in A/R.</t>
        </is>
      </c>
      <c r="E3" s="4" t="inlineStr">
        <is>
          <t>2</t>
        </is>
      </c>
      <c r="F3" s="4" t="inlineStr">
        <is>
          <t>3</t>
        </is>
      </c>
      <c r="G3" s="4" t="inlineStr">
        <is>
          <t>4</t>
        </is>
      </c>
      <c r="H3" s="4" t="inlineStr">
        <is>
          <t>5</t>
        </is>
      </c>
      <c r="I3" s="5" t="inlineStr">
        <is>
          <t>A</t>
        </is>
      </c>
      <c r="J3" s="6" t="inlineStr">
        <is>
          <t>Use partitioning to solve.</t>
        </is>
      </c>
    </row>
    <row r="4" ht="42" customHeight="1">
      <c r="A4" s="2" t="n">
        <v>3</v>
      </c>
      <c r="B4" s="3" t="inlineStr">
        <is>
          <t>Hard</t>
        </is>
      </c>
      <c r="C4" s="4" t="inlineStr">
        <is>
          <t>Application-based Set Theory Problems</t>
        </is>
      </c>
      <c r="D4" s="4" t="inlineStr">
        <is>
          <t>If A and B are sets such that</t>
        </is>
      </c>
      <c r="E4" s="4" t="inlineStr">
        <is>
          <t>A</t>
        </is>
      </c>
      <c r="F4" s="4">
        <f> 12,</f>
        <v/>
      </c>
      <c r="G4" s="4" t="inlineStr">
        <is>
          <t>B</t>
        </is>
      </c>
      <c r="H4" s="4">
        <f> 8, and</f>
        <v/>
      </c>
      <c r="I4" s="5" t="inlineStr">
        <is>
          <t>A</t>
        </is>
      </c>
      <c r="J4" s="6">
        <f> 4, find the number of elements in (A ∪ B)'.</f>
        <v/>
      </c>
    </row>
    <row r="5" ht="42" customHeight="1">
      <c r="A5" s="7" t="n">
        <v>4</v>
      </c>
      <c r="B5" s="8" t="inlineStr">
        <is>
          <t>Easy</t>
        </is>
      </c>
      <c r="C5" s="9" t="inlineStr">
        <is>
          <t>Complement of Sets</t>
        </is>
      </c>
      <c r="D5" s="9" t="inlineStr">
        <is>
          <t>Let U be the universal set. If A ∩ B = {1, 2} and A' ∪ B' = U, then what is A'?</t>
        </is>
      </c>
      <c r="E5" s="9" t="inlineStr">
        <is>
          <t>{0, 3, 4}</t>
        </is>
      </c>
      <c r="F5" s="9" t="inlineStr">
        <is>
          <t>{0, 1, 3, 4}</t>
        </is>
      </c>
      <c r="G5" s="9" t="inlineStr">
        <is>
          <t>{0, 2, 3, 4}</t>
        </is>
      </c>
      <c r="H5" s="9" t="inlineStr">
        <is>
          <t>{0, 1, 2, 3, 4}</t>
        </is>
      </c>
      <c r="I5" s="10" t="inlineStr">
        <is>
          <t>B</t>
        </is>
      </c>
      <c r="J5" s="11" t="inlineStr">
        <is>
          <t>A' is the set of elements in U that are not in A.</t>
        </is>
      </c>
    </row>
    <row r="6" ht="42" customHeight="1">
      <c r="A6" s="7" t="n">
        <v>5</v>
      </c>
      <c r="B6" s="8" t="inlineStr">
        <is>
          <t>Easy</t>
        </is>
      </c>
      <c r="C6" s="9" t="inlineStr">
        <is>
          <t>Complement of Sets</t>
        </is>
      </c>
      <c r="D6" s="9" t="inlineStr">
        <is>
          <t>If A and B are sets such that A ∩ B = {x}, then what is (A ∪ B)'?</t>
        </is>
      </c>
      <c r="E6" s="9" t="inlineStr">
        <is>
          <t>{x}</t>
        </is>
      </c>
      <c r="F6" s="9" t="inlineStr">
        <is>
          <t>{x, y}</t>
        </is>
      </c>
      <c r="G6" s="9" t="inlineStr">
        <is>
          <t>{x, x'}</t>
        </is>
      </c>
      <c r="H6" s="9" t="inlineStr">
        <is>
          <t>{x, x', y}</t>
        </is>
      </c>
      <c r="I6" s="10" t="inlineStr">
        <is>
          <t>C</t>
        </is>
      </c>
      <c r="J6" s="11" t="inlineStr">
        <is>
          <t>(A ∪ B)' is the set of elements in U that are not in A or B.</t>
        </is>
      </c>
    </row>
    <row r="7" ht="42" customHeight="1">
      <c r="A7" s="7" t="n">
        <v>6</v>
      </c>
      <c r="B7" s="8" t="inlineStr">
        <is>
          <t>Easy</t>
        </is>
      </c>
      <c r="C7" s="9" t="inlineStr">
        <is>
          <t>Complement of Sets</t>
        </is>
      </c>
      <c r="D7" s="9" t="inlineStr">
        <is>
          <t>Let A and B be sets. If A' ∩ B = φ and A ∪ B = U, then what is (A ∩ B)'?</t>
        </is>
      </c>
      <c r="E7" s="9" t="inlineStr">
        <is>
          <t>φ</t>
        </is>
      </c>
      <c r="F7" s="9" t="inlineStr">
        <is>
          <t>{1, 2}</t>
        </is>
      </c>
      <c r="G7" s="9" t="inlineStr">
        <is>
          <t>{0, 1, 2}</t>
        </is>
      </c>
      <c r="H7" s="9" t="inlineStr">
        <is>
          <t>{0, 1, 3, 4}</t>
        </is>
      </c>
      <c r="I7" s="10" t="inlineStr">
        <is>
          <t>D</t>
        </is>
      </c>
      <c r="J7" s="11" t="inlineStr">
        <is>
          <t>(A ∩ B)' is the set of elements in U that are not in A and B.</t>
        </is>
      </c>
    </row>
    <row r="8" ht="42" customHeight="1">
      <c r="A8" s="7" t="n">
        <v>7</v>
      </c>
      <c r="B8" s="8" t="inlineStr">
        <is>
          <t>Easy</t>
        </is>
      </c>
      <c r="C8" s="9" t="inlineStr">
        <is>
          <t>Complement of Sets</t>
        </is>
      </c>
      <c r="D8" s="9" t="inlineStr">
        <is>
          <t>If A is a subset of U and A' = {x, y}, then what is (U - A)'?</t>
        </is>
      </c>
      <c r="E8" s="9" t="inlineStr">
        <is>
          <t>{0, 1, 2}</t>
        </is>
      </c>
      <c r="F8" s="9" t="inlineStr">
        <is>
          <t>{x, y}</t>
        </is>
      </c>
      <c r="G8" s="9" t="inlineStr">
        <is>
          <t>{x, y, z}</t>
        </is>
      </c>
      <c r="H8" s="9" t="inlineStr">
        <is>
          <t>{x, y, z, w}</t>
        </is>
      </c>
      <c r="I8" s="10" t="inlineStr">
        <is>
          <t>A</t>
        </is>
      </c>
      <c r="J8" s="11" t="inlineStr">
        <is>
          <t>(U - A)' is the set of elements in U that are not in A.</t>
        </is>
      </c>
    </row>
    <row r="9" ht="42" customHeight="1">
      <c r="A9" s="2" t="n">
        <v>8</v>
      </c>
      <c r="B9" s="3" t="inlineStr">
        <is>
          <t>Hard</t>
        </is>
      </c>
      <c r="C9" s="4" t="inlineStr">
        <is>
          <t>Set Identities and Properties</t>
        </is>
      </c>
      <c r="D9" s="4" t="inlineStr">
        <is>
          <t>If P(A) = 0.6, P(B) = 0.4, and P(A ∪ B) = 0.8, find P(A ∩ B)</t>
        </is>
      </c>
      <c r="E9" s="4" t="inlineStr">
        <is>
          <t>0.2</t>
        </is>
      </c>
      <c r="F9" s="4" t="inlineStr">
        <is>
          <t>0.1</t>
        </is>
      </c>
      <c r="G9" s="4" t="inlineStr">
        <is>
          <t>0.4</t>
        </is>
      </c>
      <c r="H9" s="4" t="inlineStr">
        <is>
          <t>0.3</t>
        </is>
      </c>
      <c r="I9" s="5" t="inlineStr">
        <is>
          <t>A</t>
        </is>
      </c>
      <c r="J9" s="6" t="inlineStr">
        <is>
          <t>Use inclusion-exclusion principle: P(A ∩ B) = P(A) + P(B) - P(A ∪ B).</t>
        </is>
      </c>
    </row>
    <row r="10" ht="42" customHeight="1">
      <c r="A10" s="2" t="n">
        <v>9</v>
      </c>
      <c r="B10" s="3" t="inlineStr">
        <is>
          <t>Hard</t>
        </is>
      </c>
      <c r="C10" s="4" t="inlineStr">
        <is>
          <t>Set Identities and Properties</t>
        </is>
      </c>
      <c r="D10" s="4" t="inlineStr">
        <is>
          <t>If P(A) = 0.7, P(B) = 0.5, and P(A ∩ B) = 0.3, find P(A' ∪ B')</t>
        </is>
      </c>
      <c r="E10" s="4" t="inlineStr">
        <is>
          <t>0.6</t>
        </is>
      </c>
      <c r="F10" s="4" t="inlineStr">
        <is>
          <t>0.4</t>
        </is>
      </c>
      <c r="G10" s="4" t="inlineStr">
        <is>
          <t>0.2</t>
        </is>
      </c>
      <c r="H10" s="4" t="inlineStr">
        <is>
          <t>0.1</t>
        </is>
      </c>
      <c r="I10" s="5" t="inlineStr">
        <is>
          <t>C</t>
        </is>
      </c>
      <c r="J10" s="6" t="inlineStr">
        <is>
          <t>Use De Morgan's laws: P(A' ∪ B') = 1 - P(A ∩ B).</t>
        </is>
      </c>
    </row>
    <row r="11" ht="42" customHeight="1">
      <c r="A11" s="12" t="n">
        <v>10</v>
      </c>
      <c r="B11" s="13" t="inlineStr">
        <is>
          <t>Medium</t>
        </is>
      </c>
      <c r="C11" s="14" t="inlineStr">
        <is>
          <t>Application-based Set Theory Problems</t>
        </is>
      </c>
      <c r="D11" s="14" t="inlineStr">
        <is>
          <t>Let U be the universal set, and A, B, C be subsets such that A ⊆ B ⊆ C. If</t>
        </is>
      </c>
      <c r="E11" s="14" t="inlineStr">
        <is>
          <t>A</t>
        </is>
      </c>
      <c r="F11" s="14">
        <f> 4,</f>
        <v/>
      </c>
      <c r="G11" s="14" t="inlineStr">
        <is>
          <t>B</t>
        </is>
      </c>
      <c r="H11" s="14">
        <f> 7, and</f>
        <v/>
      </c>
      <c r="I11" s="15" t="inlineStr">
        <is>
          <t>C</t>
        </is>
      </c>
      <c r="J11" s="16">
        <f> 10, find</f>
        <v/>
      </c>
    </row>
    <row r="12" ht="42" customHeight="1">
      <c r="A12" s="12" t="n">
        <v>11</v>
      </c>
      <c r="B12" s="13" t="inlineStr">
        <is>
          <t>Medium</t>
        </is>
      </c>
      <c r="C12" s="14" t="inlineStr">
        <is>
          <t>Application-based Set Theory Problems</t>
        </is>
      </c>
      <c r="D12" s="14" t="inlineStr">
        <is>
          <t>If A and B are sets such that A ⊆ B, prove that</t>
        </is>
      </c>
      <c r="E12" s="14" t="inlineStr">
        <is>
          <t>A × B</t>
        </is>
      </c>
      <c r="F12" s="14" t="inlineStr">
        <is>
          <t>=</t>
        </is>
      </c>
      <c r="G12" s="14" t="inlineStr">
        <is>
          <t>B</t>
        </is>
      </c>
      <c r="H12" s="14" t="inlineStr">
        <is>
          <t>×</t>
        </is>
      </c>
      <c r="I12" s="15" t="inlineStr">
        <is>
          <t>A</t>
        </is>
      </c>
      <c r="J12" s="16" t="inlineStr"/>
    </row>
    <row r="13" ht="42" customHeight="1">
      <c r="A13" s="12" t="n">
        <v>12</v>
      </c>
      <c r="B13" s="13" t="inlineStr">
        <is>
          <t>Medium</t>
        </is>
      </c>
      <c r="C13" s="14" t="inlineStr">
        <is>
          <t>Application-based Set Theory Problems</t>
        </is>
      </c>
      <c r="D13" s="14" t="inlineStr">
        <is>
          <t>Let U be the universal set, and A, B be subsets such that A ∩ B = φ. If</t>
        </is>
      </c>
      <c r="E13" s="14" t="inlineStr">
        <is>
          <t>A</t>
        </is>
      </c>
      <c r="F13" s="14">
        <f> 8 and</f>
        <v/>
      </c>
      <c r="G13" s="14" t="inlineStr">
        <is>
          <t>B</t>
        </is>
      </c>
      <c r="H13" s="14">
        <f> 12, find</f>
        <v/>
      </c>
      <c r="I13" s="15" t="inlineStr">
        <is>
          <t>A</t>
        </is>
      </c>
      <c r="J13" s="16" t="inlineStr"/>
    </row>
    <row r="14" ht="42" customHeight="1">
      <c r="A14" s="2" t="n">
        <v>13</v>
      </c>
      <c r="B14" s="3" t="inlineStr">
        <is>
          <t>Hard</t>
        </is>
      </c>
      <c r="C14" s="4" t="inlineStr">
        <is>
          <t>Operations on Sets (union, intersection, difference)</t>
        </is>
      </c>
      <c r="D14" s="4" t="inlineStr">
        <is>
          <t>Let U be the universal set containing sets A and B. If</t>
        </is>
      </c>
      <c r="E14" s="4" t="inlineStr">
        <is>
          <t>A ∩ B</t>
        </is>
      </c>
      <c r="F14" s="4">
        <f> 3 and</f>
        <v/>
      </c>
      <c r="G14" s="4" t="inlineStr">
        <is>
          <t>A ∪ B</t>
        </is>
      </c>
      <c r="H14" s="4">
        <f> 7, find</f>
        <v/>
      </c>
      <c r="I14" s="5" t="inlineStr">
        <is>
          <t>A</t>
        </is>
      </c>
      <c r="J14" s="6" t="inlineStr"/>
    </row>
    <row r="15" ht="42" customHeight="1">
      <c r="A15" s="2" t="n">
        <v>14</v>
      </c>
      <c r="B15" s="3" t="inlineStr">
        <is>
          <t>Hard</t>
        </is>
      </c>
      <c r="C15" s="4" t="inlineStr">
        <is>
          <t>Operations on Sets (union, intersection, difference)</t>
        </is>
      </c>
      <c r="D15" s="4" t="inlineStr">
        <is>
          <t>If A and B are sets such that</t>
        </is>
      </c>
      <c r="E15" s="4" t="inlineStr">
        <is>
          <t>A ∪ B</t>
        </is>
      </c>
      <c r="F15" s="4">
        <f> 15 and</f>
        <v/>
      </c>
      <c r="G15" s="4" t="inlineStr">
        <is>
          <t>A ∩ B</t>
        </is>
      </c>
      <c r="H15" s="4">
        <f> 5, find</f>
        <v/>
      </c>
      <c r="I15" s="5" t="inlineStr">
        <is>
          <t>A</t>
        </is>
      </c>
      <c r="J15" s="6" t="inlineStr"/>
    </row>
    <row r="16" ht="42" customHeight="1">
      <c r="A16" s="12" t="n">
        <v>15</v>
      </c>
      <c r="B16" s="13" t="inlineStr">
        <is>
          <t>Medium</t>
        </is>
      </c>
      <c r="C16" s="14" t="inlineStr">
        <is>
          <t>De Morgan’s Laws</t>
        </is>
      </c>
      <c r="D16" s="14" t="inlineStr">
        <is>
          <t>Let U be the universal set and A, B be subsets. If A ∩ B' = ∅ and A' ∪ B = U, then what is A ∩ B?</t>
        </is>
      </c>
      <c r="E16" s="14" t="inlineStr">
        <is>
          <t>∅</t>
        </is>
      </c>
      <c r="F16" s="14" t="inlineStr">
        <is>
          <t>A</t>
        </is>
      </c>
      <c r="G16" s="14" t="inlineStr">
        <is>
          <t>B</t>
        </is>
      </c>
      <c r="H16" s="14" t="inlineStr">
        <is>
          <t>U</t>
        </is>
      </c>
      <c r="I16" s="15" t="inlineStr">
        <is>
          <t>D</t>
        </is>
      </c>
      <c r="J16" s="16" t="inlineStr">
        <is>
          <t>A</t>
        </is>
      </c>
    </row>
    <row r="17" ht="42" customHeight="1">
      <c r="A17" s="12" t="n">
        <v>16</v>
      </c>
      <c r="B17" s="13" t="inlineStr">
        <is>
          <t>Medium</t>
        </is>
      </c>
      <c r="C17" s="14" t="inlineStr">
        <is>
          <t>De Morgan’s Laws</t>
        </is>
      </c>
      <c r="D17" s="14" t="inlineStr">
        <is>
          <t>(P ∧ Q)' + (P ∨ Q)' = ?</t>
        </is>
      </c>
      <c r="E17" s="14" t="inlineStr">
        <is>
          <t>(P ∧ Q)'</t>
        </is>
      </c>
      <c r="F17" s="14" t="inlineStr">
        <is>
          <t>(P ∨ Q)'</t>
        </is>
      </c>
      <c r="G17" s="14" t="inlineStr">
        <is>
          <t>(P ∧ ¬Q)'</t>
        </is>
      </c>
      <c r="H17" s="14" t="inlineStr">
        <is>
          <t>(P ∨ ¬Q)'</t>
        </is>
      </c>
      <c r="I17" s="15" t="inlineStr">
        <is>
          <t>C</t>
        </is>
      </c>
      <c r="J17" s="16" t="inlineStr">
        <is>
          <t>By De Morgan's Law, (P ∧ Q)' = ¬(P ∧ Q), so (P ∧ Q)' + (P ∨ Q)' = ¬(P ∧ Q) + ¬(P ∨ Q) = ¬((P ∧ Q) ∨ (P ∨ Q)) = ¬(P ∨ Q).</t>
        </is>
      </c>
    </row>
    <row r="18" ht="42" customHeight="1">
      <c r="A18" s="12" t="n">
        <v>17</v>
      </c>
      <c r="B18" s="13" t="inlineStr">
        <is>
          <t>Medium</t>
        </is>
      </c>
      <c r="C18" s="14" t="inlineStr">
        <is>
          <t>De Morgan’s Laws</t>
        </is>
      </c>
      <c r="D18" s="14" t="inlineStr">
        <is>
          <t>(¬P ∨ Q)' = ?</t>
        </is>
      </c>
      <c r="E18" s="14" t="inlineStr">
        <is>
          <t>(P ∧ Q)'</t>
        </is>
      </c>
      <c r="F18" s="14" t="inlineStr">
        <is>
          <t>(P ∨ Q)'</t>
        </is>
      </c>
      <c r="G18" s="14" t="inlineStr">
        <is>
          <t>¬P'</t>
        </is>
      </c>
      <c r="H18" s="14" t="inlineStr">
        <is>
          <t>Q'</t>
        </is>
      </c>
      <c r="I18" s="15" t="inlineStr">
        <is>
          <t>B</t>
        </is>
      </c>
      <c r="J18" s="16" t="inlineStr">
        <is>
          <t>By De Morgan's Law, ¬P ∨ Q is equivalent to P' ∨ Q, so (¬P ∨ Q)' = (P' ∨ Q)', which simplifies to P ∧ Q'.</t>
        </is>
      </c>
    </row>
    <row r="19" ht="42" customHeight="1">
      <c r="A19" s="12" t="n">
        <v>18</v>
      </c>
      <c r="B19" s="13" t="inlineStr">
        <is>
          <t>Medium</t>
        </is>
      </c>
      <c r="C19" s="14" t="inlineStr">
        <is>
          <t>De Morgan’s Laws</t>
        </is>
      </c>
      <c r="D19" s="14" t="inlineStr">
        <is>
          <t>If A ∩ B = ∅ and A ∪ B = U, then what is A ∩ B'?</t>
        </is>
      </c>
      <c r="E19" s="14" t="inlineStr">
        <is>
          <t>∅</t>
        </is>
      </c>
      <c r="F19" s="14" t="inlineStr">
        <is>
          <t>A'</t>
        </is>
      </c>
      <c r="G19" s="14" t="inlineStr">
        <is>
          <t>B'</t>
        </is>
      </c>
      <c r="H19" s="14" t="inlineStr">
        <is>
          <t>U'</t>
        </is>
      </c>
      <c r="I19" s="15" t="inlineStr">
        <is>
          <t>D</t>
        </is>
      </c>
      <c r="J19" s="16" t="inlineStr">
        <is>
          <t>By De Morgan's Law, A ∩ B = ∅ implies A ⊆ B', so A ∪ B = U implies A' ∪ B' = U, which implies A ∩ B' = ∅.</t>
        </is>
      </c>
    </row>
    <row r="20" ht="42" customHeight="1">
      <c r="A20" s="2" t="n">
        <v>19</v>
      </c>
      <c r="B20" s="3" t="inlineStr">
        <is>
          <t>Hard</t>
        </is>
      </c>
      <c r="C20" s="4" t="inlineStr">
        <is>
          <t>Complement of Sets</t>
        </is>
      </c>
      <c r="D20" s="4" t="inlineStr">
        <is>
          <t>Let U be the universal set and A, B subsets of U. If</t>
        </is>
      </c>
      <c r="E20" s="4" t="inlineStr">
        <is>
          <t>A ∩ B</t>
        </is>
      </c>
      <c r="F20" s="4">
        <f> 3 and</f>
        <v/>
      </c>
      <c r="G20" s="4" t="inlineStr">
        <is>
          <t>A ∪ B</t>
        </is>
      </c>
      <c r="H20" s="4">
        <f> 7, find</f>
        <v/>
      </c>
      <c r="I20" s="5" t="inlineStr">
        <is>
          <t>A</t>
        </is>
      </c>
      <c r="J20" s="6" t="inlineStr"/>
    </row>
    <row r="21" ht="42" customHeight="1">
      <c r="A21" s="2" t="n">
        <v>20</v>
      </c>
      <c r="B21" s="3" t="inlineStr">
        <is>
          <t>Hard</t>
        </is>
      </c>
      <c r="C21" s="4" t="inlineStr">
        <is>
          <t>Complement of Sets</t>
        </is>
      </c>
      <c r="D21" s="4" t="inlineStr">
        <is>
          <t>Let U be a universal set and A, B subsets of U. If</t>
        </is>
      </c>
      <c r="E21" s="4" t="inlineStr">
        <is>
          <t>A ∪ B</t>
        </is>
      </c>
      <c r="F21" s="4">
        <f> 10 and</f>
        <v/>
      </c>
      <c r="G21" s="4" t="inlineStr">
        <is>
          <t>A' ∩ B'</t>
        </is>
      </c>
      <c r="H21" s="4">
        <f> 2, find</f>
        <v/>
      </c>
      <c r="I21" s="5" t="inlineStr">
        <is>
          <t>A</t>
        </is>
      </c>
      <c r="J21" s="6" t="inlineStr"/>
    </row>
    <row r="22" ht="42" customHeight="1">
      <c r="A22" s="2" t="n">
        <v>21</v>
      </c>
      <c r="B22" s="3" t="inlineStr">
        <is>
          <t>Hard</t>
        </is>
      </c>
      <c r="C22" s="4" t="inlineStr">
        <is>
          <t>Basic Set Concepts (elements, subsets, types of sets)</t>
        </is>
      </c>
      <c r="D22" s="4" t="inlineStr">
        <is>
          <t>Let U be the universal set containing all integers. Which of the following is true about the set A = {x</t>
        </is>
      </c>
      <c r="E22" s="4" t="inlineStr">
        <is>
          <t>x is an even integer}?</t>
        </is>
      </c>
      <c r="F22" s="4" t="inlineStr">
        <is>
          <t>A contains only prime numbers</t>
        </is>
      </c>
      <c r="G22" s="4" t="inlineStr">
        <is>
          <t>B contains only odd numbers</t>
        </is>
      </c>
      <c r="H22" s="4" t="inlineStr">
        <is>
          <t>C contains only integers divisible by 4</t>
        </is>
      </c>
      <c r="I22" s="5" t="inlineStr">
        <is>
          <t>D</t>
        </is>
      </c>
      <c r="J22" s="6" t="inlineStr">
        <is>
          <t>C</t>
        </is>
      </c>
    </row>
    <row r="23" ht="42" customHeight="1">
      <c r="A23" s="2" t="n">
        <v>22</v>
      </c>
      <c r="B23" s="3" t="inlineStr">
        <is>
          <t>Hard</t>
        </is>
      </c>
      <c r="C23" s="4" t="inlineStr">
        <is>
          <t>Basic Set Concepts (elements, subsets, types of sets)</t>
        </is>
      </c>
      <c r="D23" s="4" t="inlineStr">
        <is>
          <t>Given sets A = {1, 2, 3} and B = {2, 3, 4}, find the set C such that A ∩ C = B and A ∪ C is a subset of U = {1, 2, ..., 6}.</t>
        </is>
      </c>
      <c r="E23" s="4" t="inlineStr">
        <is>
          <t>C = {2, 3}</t>
        </is>
      </c>
      <c r="F23" s="4" t="inlineStr">
        <is>
          <t>C = {1, 4, 5, 6}</t>
        </is>
      </c>
      <c r="G23" s="4" t="inlineStr">
        <is>
          <t>C = {2, 3, 4, 5}</t>
        </is>
      </c>
      <c r="H23" s="4" t="inlineStr">
        <is>
          <t>C = {1, 2, 3, 4, 5, 6}</t>
        </is>
      </c>
      <c r="I23" s="5" t="inlineStr">
        <is>
          <t>A</t>
        </is>
      </c>
      <c r="J23" s="6" t="inlineStr">
        <is>
          <t>The intersection of A and C is B, so C must contain only elements in common with B. The union of A and C is a subset of U, so C cannot contain any elements greater than 4.</t>
        </is>
      </c>
    </row>
    <row r="24" ht="42" customHeight="1">
      <c r="A24" s="2" t="n">
        <v>23</v>
      </c>
      <c r="B24" s="3" t="inlineStr">
        <is>
          <t>Hard</t>
        </is>
      </c>
      <c r="C24" s="4" t="inlineStr">
        <is>
          <t>Basic Set Concepts (elements, subsets, types of sets)</t>
        </is>
      </c>
      <c r="D24" s="4" t="inlineStr">
        <is>
          <t>Let S be the set of all students in a university, and let T be the set of all students who have taken mathematics. Which of the following statements about the sets S and T is true?</t>
        </is>
      </c>
      <c r="E24" s="4" t="inlineStr">
        <is>
          <t>The number of students taking mathematics is equal to the number of students in the university minus the number of students not taking mathematics.</t>
        </is>
      </c>
      <c r="F24" s="4" t="inlineStr">
        <is>
          <t>The number of students taking mathematics is less than or equal to the number of students in the university minus the number of students not taking mathematics.</t>
        </is>
      </c>
      <c r="G24" s="4" t="inlineStr">
        <is>
          <t>The number of students taking mathematics is greater than the number of students in the university minus the number of students not taking mathematics.</t>
        </is>
      </c>
      <c r="H24" s="4" t="inlineStr">
        <is>
          <t>The number of students taking mathematics is equal to the number of students in the university plus the number of students not taking mathematics.</t>
        </is>
      </c>
      <c r="I24" s="5" t="inlineStr">
        <is>
          <t>B</t>
        </is>
      </c>
      <c r="J24" s="6" t="inlineStr">
        <is>
          <t>This statement describes the principle that the number of students taking mathematics is equal to the total number of students minus those who are not taking mathematics.</t>
        </is>
      </c>
    </row>
    <row r="25" ht="42" customHeight="1">
      <c r="A25" s="2" t="n">
        <v>24</v>
      </c>
      <c r="B25" s="3" t="inlineStr">
        <is>
          <t>Hard</t>
        </is>
      </c>
      <c r="C25" s="4" t="inlineStr">
        <is>
          <t>Basic Set Concepts (elements, subsets, types of sets)</t>
        </is>
      </c>
      <c r="D25" s="4" t="inlineStr">
        <is>
          <t>Given sets A = {1, 2} and B = {2, 3}, find the set C such that A ⊆ C and B ⊆ C. What is the minimum number of elements in set C?</t>
        </is>
      </c>
      <c r="E25" s="4" t="inlineStr">
        <is>
          <t>C has at least 4 elements</t>
        </is>
      </c>
      <c r="F25" s="4" t="inlineStr">
        <is>
          <t>C has exactly 3 elements</t>
        </is>
      </c>
      <c r="G25" s="4" t="inlineStr">
        <is>
          <t>C has at most 2 elements</t>
        </is>
      </c>
      <c r="H25" s="4" t="inlineStr">
        <is>
          <t>C has exactly 1 element</t>
        </is>
      </c>
      <c r="I25" s="5" t="inlineStr">
        <is>
          <t>D</t>
        </is>
      </c>
      <c r="J25" s="6" t="inlineStr">
        <is>
          <t>The smallest possible set C must contain all elements from both A and B, which means it must have at least 3 elements.</t>
        </is>
      </c>
    </row>
    <row r="26" ht="42" customHeight="1">
      <c r="A26" s="2" t="n">
        <v>25</v>
      </c>
      <c r="B26" s="3" t="inlineStr">
        <is>
          <t>Hard</t>
        </is>
      </c>
      <c r="C26" s="4" t="inlineStr">
        <is>
          <t>Word Problems using Sets</t>
        </is>
      </c>
      <c r="D26" s="4" t="inlineStr">
        <is>
          <t>A bakery offers a discount on bulk orders. If buying 3 sets of cookies costs $18, and buying 2 sets of cookies costs $12, how much does one set of cookies cost?</t>
        </is>
      </c>
      <c r="E26" s="4" t="inlineStr">
        <is>
          <t>$6</t>
        </is>
      </c>
      <c r="F26" s="4" t="inlineStr">
        <is>
          <t>$4</t>
        </is>
      </c>
      <c r="G26" s="4" t="inlineStr">
        <is>
          <t>$9</t>
        </is>
      </c>
      <c r="H26" s="4" t="inlineStr">
        <is>
          <t>$8</t>
        </is>
      </c>
      <c r="I26" s="5" t="inlineStr">
        <is>
          <t>D</t>
        </is>
      </c>
      <c r="J26" s="6" t="inlineStr">
        <is>
          <t>Use the ratio of prices to find the price of one set of cookies.</t>
        </is>
      </c>
    </row>
    <row r="27" ht="42" customHeight="1">
      <c r="A27" s="2" t="n">
        <v>26</v>
      </c>
      <c r="B27" s="3" t="inlineStr">
        <is>
          <t>Hard</t>
        </is>
      </c>
      <c r="C27" s="4" t="inlineStr">
        <is>
          <t>Word Problems using Sets</t>
        </is>
      </c>
      <c r="D27" s="4" t="inlineStr">
        <is>
          <t>A company has two types of employees: full-time and part-time. If 3/5 of the employees are full-time, and 1/2 of the full-time employees are also part-time, what fraction of all employees are both full-time and part-time?</t>
        </is>
      </c>
      <c r="E27" s="4" t="inlineStr">
        <is>
          <t>1/10</t>
        </is>
      </c>
      <c r="F27" s="4" t="inlineStr">
        <is>
          <t>1/5</t>
        </is>
      </c>
      <c r="G27" s="4" t="inlineStr">
        <is>
          <t>1/4</t>
        </is>
      </c>
      <c r="H27" s="4" t="inlineStr">
        <is>
          <t>3/20</t>
        </is>
      </c>
      <c r="I27" s="5" t="inlineStr">
        <is>
          <t>A</t>
        </is>
      </c>
      <c r="J27" s="6" t="inlineStr">
        <is>
          <t>Use Venn diagrams to find the intersection of sets.</t>
        </is>
      </c>
    </row>
    <row r="28" ht="42" customHeight="1">
      <c r="A28" s="2" t="n">
        <v>27</v>
      </c>
      <c r="B28" s="3" t="inlineStr">
        <is>
          <t>Hard</t>
        </is>
      </c>
      <c r="C28" s="4" t="inlineStr">
        <is>
          <t>Word Problems using Sets</t>
        </is>
      </c>
      <c r="D28" s="4" t="inlineStr">
        <is>
          <t>A library has three sections: fiction, non-fiction, and biographies. If 2/3 of the books are either fiction or biographies, and 1/5 of the books are only biographies, what fraction of the books are either fiction or biographies?</t>
        </is>
      </c>
      <c r="E28" s="4" t="inlineStr">
        <is>
          <t>2/3</t>
        </is>
      </c>
      <c r="F28" s="4" t="inlineStr">
        <is>
          <t>1/2</t>
        </is>
      </c>
      <c r="G28" s="4" t="inlineStr">
        <is>
          <t>1/4</t>
        </is>
      </c>
      <c r="H28" s="4" t="inlineStr">
        <is>
          <t>1/5</t>
        </is>
      </c>
      <c r="I28" s="5" t="inlineStr">
        <is>
          <t>D</t>
        </is>
      </c>
      <c r="J28" s="6" t="inlineStr">
        <is>
          <t>Use set operations to find the union of sets.</t>
        </is>
      </c>
    </row>
    <row r="29" ht="42" customHeight="1">
      <c r="A29" s="2" t="n">
        <v>28</v>
      </c>
      <c r="B29" s="3" t="inlineStr">
        <is>
          <t>Hard</t>
        </is>
      </c>
      <c r="C29" s="4" t="inlineStr">
        <is>
          <t>Word Problems using Sets</t>
        </is>
      </c>
      <c r="D29" s="4" t="inlineStr">
        <is>
          <t>A student has two bags: one for math and one for science. If 3/4 of the books are only for math, and 1/2 of the books are only for science, what fraction of the books are for either math or science?</t>
        </is>
      </c>
      <c r="E29" s="4" t="inlineStr">
        <is>
          <t>3/8</t>
        </is>
      </c>
      <c r="F29" s="4" t="inlineStr">
        <is>
          <t>1/2</t>
        </is>
      </c>
      <c r="G29" s="4" t="inlineStr">
        <is>
          <t>1/4</t>
        </is>
      </c>
      <c r="H29" s="4" t="inlineStr">
        <is>
          <t>3/16</t>
        </is>
      </c>
      <c r="I29" s="5" t="inlineStr">
        <is>
          <t>C</t>
        </is>
      </c>
      <c r="J29" s="6" t="inlineStr">
        <is>
          <t>Use set operations to find the union of sets.</t>
        </is>
      </c>
    </row>
    <row r="30" ht="42" customHeight="1">
      <c r="A30" s="7" t="n">
        <v>29</v>
      </c>
      <c r="B30" s="8" t="inlineStr">
        <is>
          <t>Easy</t>
        </is>
      </c>
      <c r="C30" s="9" t="inlineStr">
        <is>
          <t>Word Problems using Sets</t>
        </is>
      </c>
      <c r="D30" s="9" t="inlineStr">
        <is>
          <t>A bakery sells 120 loaves of bread daily. If it uses 30 loaves for sandwiches and 40 loaves for toast, how many loaves are left over?</t>
        </is>
      </c>
      <c r="E30" s="9" t="inlineStr">
        <is>
          <t>60 loaves</t>
        </is>
      </c>
      <c r="F30" s="9" t="inlineStr">
        <is>
          <t>80 loaves</t>
        </is>
      </c>
      <c r="G30" s="9" t="inlineStr">
        <is>
          <t>100 loaves</t>
        </is>
      </c>
      <c r="H30" s="9" t="inlineStr">
        <is>
          <t>110 loaves</t>
        </is>
      </c>
      <c r="I30" s="10" t="inlineStr">
        <is>
          <t>D</t>
        </is>
      </c>
      <c r="J30" s="11" t="inlineStr">
        <is>
          <t>The number of loaves left is the difference between the total sold (120) and used for sandwiches and toast (30 + 40 = 70).</t>
        </is>
      </c>
    </row>
    <row r="31" ht="42" customHeight="1">
      <c r="A31" s="2" t="n">
        <v>30</v>
      </c>
      <c r="B31" s="3" t="inlineStr">
        <is>
          <t>Hard</t>
        </is>
      </c>
      <c r="C31" s="4" t="inlineStr">
        <is>
          <t>Cardinality of Sets</t>
        </is>
      </c>
      <c r="D31" s="4" t="inlineStr">
        <is>
          <t>Let A and B be infinite sets. If</t>
        </is>
      </c>
      <c r="E31" s="4" t="inlineStr">
        <is>
          <t>A ∪ B</t>
        </is>
      </c>
      <c r="F31" s="4" t="inlineStr">
        <is>
          <t>=</t>
        </is>
      </c>
      <c r="G31" s="4" t="inlineStr">
        <is>
          <t>A</t>
        </is>
      </c>
      <c r="H31" s="4" t="inlineStr">
        <is>
          <t>+</t>
        </is>
      </c>
      <c r="I31" s="5" t="inlineStr">
        <is>
          <t>B</t>
        </is>
      </c>
      <c r="J31" s="6" t="inlineStr">
        <is>
          <t>-</t>
        </is>
      </c>
    </row>
    <row r="32" ht="42" customHeight="1">
      <c r="A32" s="2" t="n">
        <v>31</v>
      </c>
      <c r="B32" s="3" t="inlineStr">
        <is>
          <t>Hard</t>
        </is>
      </c>
      <c r="C32" s="4" t="inlineStr">
        <is>
          <t>Cardinality of Sets</t>
        </is>
      </c>
      <c r="D32" s="4" t="inlineStr">
        <is>
          <t>If A and B are sets such that</t>
        </is>
      </c>
      <c r="E32" s="4" t="inlineStr">
        <is>
          <t>A</t>
        </is>
      </c>
      <c r="F32" s="4" t="inlineStr">
        <is>
          <t>&lt;</t>
        </is>
      </c>
      <c r="G32" s="4" t="inlineStr">
        <is>
          <t>B</t>
        </is>
      </c>
      <c r="H32" s="4" t="inlineStr">
        <is>
          <t>, then which of the following must be true?</t>
        </is>
      </c>
      <c r="I32" s="5" t="inlineStr">
        <is>
          <t>A</t>
        </is>
      </c>
      <c r="J32" s="6" t="inlineStr">
        <is>
          <t>P(A)</t>
        </is>
      </c>
    </row>
    <row r="33" ht="42" customHeight="1">
      <c r="A33" s="2" t="n">
        <v>32</v>
      </c>
      <c r="B33" s="3" t="inlineStr">
        <is>
          <t>Hard</t>
        </is>
      </c>
      <c r="C33" s="4" t="inlineStr">
        <is>
          <t>Cardinality of Sets</t>
        </is>
      </c>
      <c r="D33" s="4" t="inlineStr">
        <is>
          <t>Let A and B be sets. If</t>
        </is>
      </c>
      <c r="E33" s="4" t="inlineStr">
        <is>
          <t>A × B</t>
        </is>
      </c>
      <c r="F33" s="4" t="inlineStr">
        <is>
          <t>=</t>
        </is>
      </c>
      <c r="G33" s="4" t="inlineStr">
        <is>
          <t>A</t>
        </is>
      </c>
      <c r="H33" s="4" t="inlineStr">
        <is>
          <t>×</t>
        </is>
      </c>
      <c r="I33" s="5" t="inlineStr">
        <is>
          <t>B</t>
        </is>
      </c>
      <c r="J33" s="6" t="inlineStr">
        <is>
          <t>, which of the following must be true?</t>
        </is>
      </c>
    </row>
    <row r="34" ht="42" customHeight="1">
      <c r="A34" s="7" t="n">
        <v>33</v>
      </c>
      <c r="B34" s="8" t="inlineStr">
        <is>
          <t>Easy</t>
        </is>
      </c>
      <c r="C34" s="9" t="inlineStr">
        <is>
          <t>Venn Diagram Problems (3 sets)</t>
        </is>
      </c>
      <c r="D34" s="9" t="inlineStr">
        <is>
          <t>Three sets A, B, and C are given. If A ∩ B = {1, 2}, A ∩ C = {2, 3}, and B ∩ C = {4}, find A ∪ B ∪ C.</t>
        </is>
      </c>
      <c r="E34" s="9" t="inlineStr">
        <is>
          <t>{1, 2, 3, 4}</t>
        </is>
      </c>
      <c r="F34" s="9" t="inlineStr">
        <is>
          <t>{1, 2, 3, 5}</t>
        </is>
      </c>
      <c r="G34" s="9" t="inlineStr">
        <is>
          <t>{1, 2, 3, 6}</t>
        </is>
      </c>
      <c r="H34" s="9" t="inlineStr">
        <is>
          <t>{1, 2, 3, 7}</t>
        </is>
      </c>
      <c r="I34" s="10" t="inlineStr">
        <is>
          <t>A</t>
        </is>
      </c>
      <c r="J34" s="11" t="inlineStr">
        <is>
          <t>Union of sets is the set of all elements that are in A or B or C.</t>
        </is>
      </c>
    </row>
    <row r="35" ht="42" customHeight="1">
      <c r="A35" s="7" t="n">
        <v>34</v>
      </c>
      <c r="B35" s="8" t="inlineStr">
        <is>
          <t>Easy</t>
        </is>
      </c>
      <c r="C35" s="9" t="inlineStr">
        <is>
          <t>Venn Diagram Problems (3 sets)</t>
        </is>
      </c>
      <c r="D35" s="9" t="inlineStr">
        <is>
          <t>Sets P and Q have a total of 15 elements. If P has 9 elements and P ∩ Q = {1, 2}, find Q.</t>
        </is>
      </c>
      <c r="E35" s="9" t="inlineStr">
        <is>
          <t>{10, 11, 12}</t>
        </is>
      </c>
      <c r="F35" s="9" t="inlineStr">
        <is>
          <t>{13, 14, 15}</t>
        </is>
      </c>
      <c r="G35" s="9" t="inlineStr">
        <is>
          <t>{1, 2, 3}</t>
        </is>
      </c>
      <c r="H35" s="9" t="inlineStr">
        <is>
          <t>{4, 5, 6}</t>
        </is>
      </c>
      <c r="I35" s="10" t="inlineStr">
        <is>
          <t>D</t>
        </is>
      </c>
      <c r="J35" s="11" t="inlineStr">
        <is>
          <t>Find the number of elements in set Q by subtracting the number of elements in P from the total.</t>
        </is>
      </c>
    </row>
    <row r="36" ht="42" customHeight="1">
      <c r="A36" s="7" t="n">
        <v>35</v>
      </c>
      <c r="B36" s="8" t="inlineStr">
        <is>
          <t>Easy</t>
        </is>
      </c>
      <c r="C36" s="9" t="inlineStr">
        <is>
          <t>Venn Diagram Problems (3 sets)</t>
        </is>
      </c>
      <c r="D36" s="9" t="inlineStr">
        <is>
          <t>Three sets A, B, and C are given. If A ∩ B = {1}, A ∪ B = {1, 2, 3}, and C = {4}, find A ∪ C.</t>
        </is>
      </c>
      <c r="E36" s="9" t="inlineStr">
        <is>
          <t>{1, 2, 3, 4}</t>
        </is>
      </c>
      <c r="F36" s="9" t="inlineStr">
        <is>
          <t>{1, 2, 5}</t>
        </is>
      </c>
      <c r="G36" s="9" t="inlineStr">
        <is>
          <t>{1, 6, 7}</t>
        </is>
      </c>
      <c r="H36" s="9" t="inlineStr">
        <is>
          <t>{8, 9, 10}</t>
        </is>
      </c>
      <c r="I36" s="10" t="inlineStr">
        <is>
          <t>A</t>
        </is>
      </c>
      <c r="J36" s="11" t="inlineStr">
        <is>
          <t>Find the union of sets by combining all elements that are in set A or set C.</t>
        </is>
      </c>
    </row>
    <row r="37" ht="42" customHeight="1">
      <c r="A37" s="7" t="n">
        <v>36</v>
      </c>
      <c r="B37" s="8" t="inlineStr">
        <is>
          <t>Easy</t>
        </is>
      </c>
      <c r="C37" s="9" t="inlineStr">
        <is>
          <t>Venn Diagram Problems (3 sets)</t>
        </is>
      </c>
      <c r="D37" s="9" t="inlineStr">
        <is>
          <t>Sets X and Y have a total of 12 elements. If X has 8 elements and X ∩ Y = {1, 2}, find Y.</t>
        </is>
      </c>
      <c r="E37" s="9" t="inlineStr">
        <is>
          <t>{9, 10, 11}</t>
        </is>
      </c>
      <c r="F37" s="9" t="inlineStr">
        <is>
          <t>{3, 4, 5}</t>
        </is>
      </c>
      <c r="G37" s="9" t="inlineStr">
        <is>
          <t>{6, 7, 8}</t>
        </is>
      </c>
      <c r="H37" s="9" t="inlineStr">
        <is>
          <t>{1, 2, 3}</t>
        </is>
      </c>
      <c r="I37" s="10" t="inlineStr">
        <is>
          <t>B</t>
        </is>
      </c>
      <c r="J37" s="11" t="inlineStr">
        <is>
          <t>Find the number of elements in set Y by subtracting the number of elements in X from the total.</t>
        </is>
      </c>
    </row>
    <row r="38" ht="42" customHeight="1">
      <c r="A38" s="7" t="n">
        <v>37</v>
      </c>
      <c r="B38" s="8" t="inlineStr">
        <is>
          <t>Easy</t>
        </is>
      </c>
      <c r="C38" s="9" t="inlineStr">
        <is>
          <t>Set Identities and Properties</t>
        </is>
      </c>
      <c r="D38" s="9" t="inlineStr">
        <is>
          <t>(A ∩ B) ∪ C = ?</t>
        </is>
      </c>
      <c r="E38" s="9" t="inlineStr">
        <is>
          <t>A ∪ (B ∪ C)</t>
        </is>
      </c>
      <c r="F38" s="9" t="inlineStr">
        <is>
          <t>(A ∩ B) ∪ C</t>
        </is>
      </c>
      <c r="G38" s="9" t="inlineStr">
        <is>
          <t>A ∩ (B ∪ C)</t>
        </is>
      </c>
      <c r="H38" s="9" t="inlineStr">
        <is>
          <t>A ∪ B ∪ C</t>
        </is>
      </c>
      <c r="I38" s="10" t="inlineStr">
        <is>
          <t>C</t>
        </is>
      </c>
      <c r="J38" s="11" t="inlineStr">
        <is>
          <t>(Venn diagram: A ∩ B is subset of (A ∩ B) ∪ C).</t>
        </is>
      </c>
    </row>
    <row r="39" ht="42" customHeight="1">
      <c r="A39" s="7" t="n">
        <v>38</v>
      </c>
      <c r="B39" s="8" t="inlineStr">
        <is>
          <t>Easy</t>
        </is>
      </c>
      <c r="C39" s="9" t="inlineStr">
        <is>
          <t>Set Identities and Properties</t>
        </is>
      </c>
      <c r="D39" s="9" t="inlineStr">
        <is>
          <t>If A ⊆ B, then what is A ∩ B equal to?</t>
        </is>
      </c>
      <c r="E39" s="9" t="inlineStr">
        <is>
          <t>A</t>
        </is>
      </c>
      <c r="F39" s="9" t="inlineStr">
        <is>
          <t>B</t>
        </is>
      </c>
      <c r="G39" s="9" t="inlineStr">
        <is>
          <t>∅</t>
        </is>
      </c>
      <c r="H39" s="9" t="inlineStr">
        <is>
          <t>A ∪ B</t>
        </is>
      </c>
      <c r="I39" s="10" t="inlineStr">
        <is>
          <t>A</t>
        </is>
      </c>
      <c r="J39" s="11" t="inlineStr">
        <is>
          <t>(By definition of subset).</t>
        </is>
      </c>
    </row>
    <row r="40" ht="42" customHeight="1">
      <c r="A40" s="7" t="n">
        <v>39</v>
      </c>
      <c r="B40" s="8" t="inlineStr">
        <is>
          <t>Easy</t>
        </is>
      </c>
      <c r="C40" s="9" t="inlineStr">
        <is>
          <t>Venn Diagram Problems (2 sets)</t>
        </is>
      </c>
      <c r="D40" s="9" t="inlineStr">
        <is>
          <t>Set A has 10 elements, set B has 5 elements. What is the maximum possible number of elements in their intersection?</t>
        </is>
      </c>
      <c r="E40" s="9" t="inlineStr">
        <is>
          <t>A) 3</t>
        </is>
      </c>
      <c r="F40" s="9" t="inlineStr">
        <is>
          <t>B) 5</t>
        </is>
      </c>
      <c r="G40" s="9" t="inlineStr">
        <is>
          <t>C) 7</t>
        </is>
      </c>
      <c r="H40" s="9" t="inlineStr">
        <is>
          <t>D) 9</t>
        </is>
      </c>
      <c r="I40" s="10" t="inlineStr">
        <is>
          <t>A</t>
        </is>
      </c>
      <c r="J40" s="11" t="inlineStr">
        <is>
          <t>Maximum intersection occurs when all elements of set B are also in set A.</t>
        </is>
      </c>
    </row>
    <row r="41" ht="42" customHeight="1">
      <c r="A41" s="7" t="n">
        <v>40</v>
      </c>
      <c r="B41" s="8" t="inlineStr">
        <is>
          <t>Easy</t>
        </is>
      </c>
      <c r="C41" s="9" t="inlineStr">
        <is>
          <t>Venn Diagram Problems (2 sets)</t>
        </is>
      </c>
      <c r="D41" s="9" t="inlineStr">
        <is>
          <t>In a Venn diagram, set A has 8 elements and set B has 4 elements. If the union of both sets has 12 elements, what is the number of elements in their difference?</t>
        </is>
      </c>
      <c r="E41" s="9" t="inlineStr">
        <is>
          <t>A) 0</t>
        </is>
      </c>
      <c r="F41" s="9" t="inlineStr">
        <is>
          <t>B) 1</t>
        </is>
      </c>
      <c r="G41" s="9" t="inlineStr">
        <is>
          <t>C) 2</t>
        </is>
      </c>
      <c r="H41" s="9" t="inlineStr">
        <is>
          <t>D) 3</t>
        </is>
      </c>
      <c r="I41" s="10" t="inlineStr">
        <is>
          <t>B</t>
        </is>
      </c>
      <c r="J41" s="11" t="inlineStr">
        <is>
          <t>Union = A ∪ B = 12; Difference = (A ∩ B)' = 4.</t>
        </is>
      </c>
    </row>
    <row r="42" ht="42" customHeight="1">
      <c r="A42" s="7" t="n">
        <v>41</v>
      </c>
      <c r="B42" s="8" t="inlineStr">
        <is>
          <t>Easy</t>
        </is>
      </c>
      <c r="C42" s="9" t="inlineStr">
        <is>
          <t>Venn Diagram Problems (2 sets)</t>
        </is>
      </c>
      <c r="D42" s="9" t="inlineStr">
        <is>
          <t>Two sets, A and B, have 6 and 8 elements respectively. If their intersection has 2 elements, what is the number of elements in set A but not in set B?</t>
        </is>
      </c>
      <c r="E42" s="9" t="inlineStr">
        <is>
          <t>A) 3</t>
        </is>
      </c>
      <c r="F42" s="9" t="inlineStr">
        <is>
          <t>B) 4</t>
        </is>
      </c>
      <c r="G42" s="9" t="inlineStr">
        <is>
          <t>C) 5</t>
        </is>
      </c>
      <c r="H42" s="9" t="inlineStr">
        <is>
          <t>D) 6</t>
        </is>
      </c>
      <c r="I42" s="10" t="inlineStr">
        <is>
          <t>C</t>
        </is>
      </c>
      <c r="J42" s="11" t="inlineStr">
        <is>
          <t>Intersection = 2; Difference = (A - B) = 6 - 2 = 4.</t>
        </is>
      </c>
    </row>
    <row r="43" ht="42" customHeight="1">
      <c r="A43" s="7" t="n">
        <v>42</v>
      </c>
      <c r="B43" s="8" t="inlineStr">
        <is>
          <t>Easy</t>
        </is>
      </c>
      <c r="C43" s="9" t="inlineStr">
        <is>
          <t>Venn Diagram Problems (2 sets)</t>
        </is>
      </c>
      <c r="D43" s="9" t="inlineStr">
        <is>
          <t>In a Venn diagram, set A has 12 elements and set B has 8 elements. If their union has 16 elements, what is the number of elements in their difference?</t>
        </is>
      </c>
      <c r="E43" s="9" t="inlineStr">
        <is>
          <t>A) 0</t>
        </is>
      </c>
      <c r="F43" s="9" t="inlineStr">
        <is>
          <t>B) 1</t>
        </is>
      </c>
      <c r="G43" s="9" t="inlineStr">
        <is>
          <t>C) 2</t>
        </is>
      </c>
      <c r="H43" s="9" t="inlineStr">
        <is>
          <t>D) 4</t>
        </is>
      </c>
      <c r="I43" s="10" t="inlineStr">
        <is>
          <t>D</t>
        </is>
      </c>
      <c r="J43" s="11" t="inlineStr">
        <is>
          <t>Union = A ∪ B = 16; Difference = (A ∩ B)' = 16 - 12 - 8 + 2 = 4.</t>
        </is>
      </c>
    </row>
    <row r="44" ht="42" customHeight="1">
      <c r="A44" s="12" t="n">
        <v>43</v>
      </c>
      <c r="B44" s="13" t="inlineStr">
        <is>
          <t>Medium</t>
        </is>
      </c>
      <c r="C44" s="14" t="inlineStr">
        <is>
          <t>Cardinality of Sets</t>
        </is>
      </c>
      <c r="D44" s="14" t="inlineStr">
        <is>
          <t>Let A and B be finite sets. If</t>
        </is>
      </c>
      <c r="E44" s="14" t="inlineStr">
        <is>
          <t>A ∪ B</t>
        </is>
      </c>
      <c r="F44" s="14">
        <f> 10 and</f>
        <v/>
      </c>
      <c r="G44" s="14" t="inlineStr">
        <is>
          <t>A ∩ B</t>
        </is>
      </c>
      <c r="H44" s="14">
        <f> 2, find</f>
        <v/>
      </c>
      <c r="I44" s="15" t="inlineStr">
        <is>
          <t>A</t>
        </is>
      </c>
      <c r="J44" s="16" t="inlineStr">
        <is>
          <t>+</t>
        </is>
      </c>
    </row>
    <row r="45" ht="42" customHeight="1">
      <c r="A45" s="12" t="n">
        <v>44</v>
      </c>
      <c r="B45" s="13" t="inlineStr">
        <is>
          <t>Medium</t>
        </is>
      </c>
      <c r="C45" s="14" t="inlineStr">
        <is>
          <t>Cardinality of Sets</t>
        </is>
      </c>
      <c r="D45" s="14" t="inlineStr">
        <is>
          <t>Let A and B be infinite sets. If</t>
        </is>
      </c>
      <c r="E45" s="14" t="inlineStr">
        <is>
          <t>A × B</t>
        </is>
      </c>
      <c r="F45" s="14" t="inlineStr">
        <is>
          <t>=</t>
        </is>
      </c>
      <c r="G45" s="14" t="inlineStr">
        <is>
          <t>A</t>
        </is>
      </c>
      <c r="H45" s="14" t="inlineStr">
        <is>
          <t>×</t>
        </is>
      </c>
      <c r="I45" s="15" t="inlineStr">
        <is>
          <t>B</t>
        </is>
      </c>
      <c r="J45" s="16" t="inlineStr">
        <is>
          <t>, prove that either A or B is countable. A</t>
        </is>
      </c>
    </row>
    <row r="46" ht="42" customHeight="1">
      <c r="A46" s="12" t="n">
        <v>45</v>
      </c>
      <c r="B46" s="13" t="inlineStr">
        <is>
          <t>Medium</t>
        </is>
      </c>
      <c r="C46" s="14" t="inlineStr">
        <is>
          <t>Venn Diagram Problems (3 sets)</t>
        </is>
      </c>
      <c r="D46" s="14" t="inlineStr">
        <is>
          <t>Three sets U, A, and B satisfy UAUB. If</t>
        </is>
      </c>
      <c r="E46" s="14" t="inlineStr">
        <is>
          <t>U</t>
        </is>
      </c>
      <c r="F46" s="14">
        <f>24,</f>
        <v/>
      </c>
      <c r="G46" s="14" t="inlineStr">
        <is>
          <t>A</t>
        </is>
      </c>
      <c r="H46" s="14">
        <f>16, and</f>
        <v/>
      </c>
      <c r="I46" s="15" t="inlineStr">
        <is>
          <t>B</t>
        </is>
      </c>
      <c r="J46" s="16">
        <f>12, find</f>
        <v/>
      </c>
    </row>
    <row r="47" ht="42" customHeight="1">
      <c r="A47" s="12" t="n">
        <v>46</v>
      </c>
      <c r="B47" s="13" t="inlineStr">
        <is>
          <t>Medium</t>
        </is>
      </c>
      <c r="C47" s="14" t="inlineStr">
        <is>
          <t>Operations on Sets (union, intersection, difference)</t>
        </is>
      </c>
      <c r="D47" s="14" t="inlineStr">
        <is>
          <t>Let A and B be sets such that A ∩ B = {1, 2} and A ∪ B = {1, 2, 3, 4}. Find A - B.</t>
        </is>
      </c>
      <c r="E47" s="14" t="inlineStr">
        <is>
          <t>{1}</t>
        </is>
      </c>
      <c r="F47" s="14" t="inlineStr">
        <is>
          <t>{1, 2}</t>
        </is>
      </c>
      <c r="G47" s="14" t="inlineStr">
        <is>
          <t>{1, 3}</t>
        </is>
      </c>
      <c r="H47" s="14" t="inlineStr">
        <is>
          <t>{2, 3}</t>
        </is>
      </c>
      <c r="I47" s="15" t="inlineStr">
        <is>
          <t>C</t>
        </is>
      </c>
      <c r="J47" s="16" t="inlineStr">
        <is>
          <t>A ∩ B is the intersection of sets, so it contains only common elements. Then, A - B are elements in A but not in B.</t>
        </is>
      </c>
    </row>
    <row r="48" ht="42" customHeight="1">
      <c r="A48" s="12" t="n">
        <v>47</v>
      </c>
      <c r="B48" s="13" t="inlineStr">
        <is>
          <t>Medium</t>
        </is>
      </c>
      <c r="C48" s="14" t="inlineStr">
        <is>
          <t>Operations on Sets (union, intersection, difference)</t>
        </is>
      </c>
      <c r="D48" s="14" t="inlineStr">
        <is>
          <t>If U = {a, b, c, d}, A = {a, b} and B = {b, c}. Find A ∩ B.</t>
        </is>
      </c>
      <c r="E48" s="14" t="inlineStr">
        <is>
          <t>{b}</t>
        </is>
      </c>
      <c r="F48" s="14" t="inlineStr">
        <is>
          <t>{a, b}</t>
        </is>
      </c>
      <c r="G48" s="14" t="inlineStr">
        <is>
          <t>{b, c}</t>
        </is>
      </c>
      <c r="H48" s="14" t="inlineStr">
        <is>
          <t>{}</t>
        </is>
      </c>
      <c r="I48" s="15" t="inlineStr">
        <is>
          <t>B</t>
        </is>
      </c>
      <c r="J48" s="16" t="inlineStr">
        <is>
          <t>A ∩ B is the set of elements common to both sets.</t>
        </is>
      </c>
    </row>
    <row r="49" ht="42" customHeight="1">
      <c r="A49" s="12" t="n">
        <v>48</v>
      </c>
      <c r="B49" s="13" t="inlineStr">
        <is>
          <t>Medium</t>
        </is>
      </c>
      <c r="C49" s="14" t="inlineStr">
        <is>
          <t>Operations on Sets (union, intersection, difference)</t>
        </is>
      </c>
      <c r="D49" s="14" t="inlineStr">
        <is>
          <t>Let A and B be sets such that A = {1, 2, 3} and B = {2, 4}. Find A ∪ B - (A ∩ B).</t>
        </is>
      </c>
      <c r="E49" s="14" t="inlineStr">
        <is>
          <t>{1, 3, 4}</t>
        </is>
      </c>
      <c r="F49" s="14" t="inlineStr">
        <is>
          <t>{1, 2, 3, 4}</t>
        </is>
      </c>
      <c r="G49" s="14" t="inlineStr">
        <is>
          <t>{1, 3}</t>
        </is>
      </c>
      <c r="H49" s="14" t="inlineStr">
        <is>
          <t>{}</t>
        </is>
      </c>
      <c r="I49" s="15" t="inlineStr">
        <is>
          <t>D</t>
        </is>
      </c>
      <c r="J49" s="16" t="inlineStr">
        <is>
          <t>(A ∪ B) is the union of sets, so it contains all elements. Then, subtracting their intersection gives unique elements in either set.</t>
        </is>
      </c>
    </row>
    <row r="50" ht="42" customHeight="1">
      <c r="A50" s="12" t="n">
        <v>49</v>
      </c>
      <c r="B50" s="13" t="inlineStr">
        <is>
          <t>Medium</t>
        </is>
      </c>
      <c r="C50" s="14" t="inlineStr">
        <is>
          <t>Complement of Sets</t>
        </is>
      </c>
      <c r="D50" s="14" t="inlineStr">
        <is>
          <t>Let R be the relation on the set {1, 2, 3} such that R = {(1, 2), (2, 3)}. Find the complement of R with respect to the universal set U = {1, 2, 3}.</t>
        </is>
      </c>
      <c r="E50" s="14" t="inlineStr">
        <is>
          <t>{(1, 3)}</t>
        </is>
      </c>
      <c r="F50" s="14" t="inlineStr">
        <is>
          <t>{(2, 1)}</t>
        </is>
      </c>
      <c r="G50" s="14" t="inlineStr">
        <is>
          <t>{(3, 2)}</t>
        </is>
      </c>
      <c r="H50" s="14" t="inlineStr">
        <is>
          <t>{(1, 1)}</t>
        </is>
      </c>
      <c r="I50" s="15" t="inlineStr">
        <is>
          <t>A</t>
        </is>
      </c>
      <c r="J50" s="16" t="inlineStr">
        <is>
          <t>Find the relation's complement by taking all ordered pairs not in the original relation.</t>
        </is>
      </c>
    </row>
    <row r="51" ht="42" customHeight="1">
      <c r="A51" s="12" t="n">
        <v>50</v>
      </c>
      <c r="B51" s="13" t="inlineStr">
        <is>
          <t>Medium</t>
        </is>
      </c>
      <c r="C51" s="14" t="inlineStr">
        <is>
          <t>Complement of Sets</t>
        </is>
      </c>
      <c r="D51" s="14" t="inlineStr">
        <is>
          <t>If A and B are subsets of a universal set U such that</t>
        </is>
      </c>
      <c r="E51" s="14" t="inlineStr">
        <is>
          <t>A ∩ B'</t>
        </is>
      </c>
      <c r="F51" s="14">
        <f> 4 and</f>
        <v/>
      </c>
      <c r="G51" s="14" t="inlineStr">
        <is>
          <t>B'</t>
        </is>
      </c>
      <c r="H51" s="14">
        <f> 6, find</f>
        <v/>
      </c>
      <c r="I51" s="15" t="inlineStr">
        <is>
          <t>A</t>
        </is>
      </c>
      <c r="J51" s="16" t="inlineStr">
        <is>
          <t>.</t>
        </is>
      </c>
    </row>
    <row r="52" ht="42" customHeight="1">
      <c r="A52" s="2" t="n">
        <v>51</v>
      </c>
      <c r="B52" s="3" t="inlineStr">
        <is>
          <t>Hard</t>
        </is>
      </c>
      <c r="C52" s="4" t="inlineStr">
        <is>
          <t>Venn Diagram Problems (2 sets)</t>
        </is>
      </c>
      <c r="D52" s="4" t="inlineStr">
        <is>
          <t>Let U be the universal set, A and B be two non-empty subsets. If</t>
        </is>
      </c>
      <c r="E52" s="4" t="inlineStr">
        <is>
          <t>A ∩ B</t>
        </is>
      </c>
      <c r="F52" s="4">
        <f> 3,</f>
        <v/>
      </c>
      <c r="G52" s="4" t="inlineStr">
        <is>
          <t>A c</t>
        </is>
      </c>
      <c r="H52" s="4">
        <f> 5, and</f>
        <v/>
      </c>
      <c r="I52" s="5" t="inlineStr">
        <is>
          <t>B</t>
        </is>
      </c>
      <c r="J52" s="6">
        <f> 7, find</f>
        <v/>
      </c>
    </row>
    <row r="53" ht="42" customHeight="1">
      <c r="A53" s="2" t="n">
        <v>52</v>
      </c>
      <c r="B53" s="3" t="inlineStr">
        <is>
          <t>Hard</t>
        </is>
      </c>
      <c r="C53" s="4" t="inlineStr">
        <is>
          <t>Venn Diagram Problems (2 sets)</t>
        </is>
      </c>
      <c r="D53" s="4" t="inlineStr">
        <is>
          <t>In a Venn diagram, let A and B be two non-empty subsets. If</t>
        </is>
      </c>
      <c r="E53" s="4" t="inlineStr">
        <is>
          <t>A ∩ B</t>
        </is>
      </c>
      <c r="F53" s="4">
        <f> 4,</f>
        <v/>
      </c>
      <c r="G53" s="4" t="inlineStr">
        <is>
          <t>A c</t>
        </is>
      </c>
      <c r="H53" s="4">
        <f> 6, and</f>
        <v/>
      </c>
      <c r="I53" s="5" t="inlineStr">
        <is>
          <t>B</t>
        </is>
      </c>
      <c r="J53" s="6">
        <f> 8, find</f>
        <v/>
      </c>
    </row>
    <row r="54" ht="42" customHeight="1">
      <c r="A54" s="2" t="n">
        <v>53</v>
      </c>
      <c r="B54" s="3" t="inlineStr">
        <is>
          <t>Hard</t>
        </is>
      </c>
      <c r="C54" s="4" t="inlineStr">
        <is>
          <t>Venn Diagram Problems (2 sets)</t>
        </is>
      </c>
      <c r="D54" s="4" t="inlineStr">
        <is>
          <t>Let A and B be two non-empty subsets. If</t>
        </is>
      </c>
      <c r="E54" s="4" t="inlineStr">
        <is>
          <t>A ∩ B</t>
        </is>
      </c>
      <c r="F54" s="4">
        <f> 5,</f>
        <v/>
      </c>
      <c r="G54" s="4" t="inlineStr">
        <is>
          <t>A c</t>
        </is>
      </c>
      <c r="H54" s="4">
        <f> 3, and</f>
        <v/>
      </c>
      <c r="I54" s="5" t="inlineStr">
        <is>
          <t>B</t>
        </is>
      </c>
      <c r="J54" s="6">
        <f> 9, find</f>
        <v/>
      </c>
    </row>
    <row r="55" ht="42" customHeight="1">
      <c r="A55" s="12" t="n">
        <v>54</v>
      </c>
      <c r="B55" s="13" t="inlineStr">
        <is>
          <t>Medium</t>
        </is>
      </c>
      <c r="C55" s="14" t="inlineStr">
        <is>
          <t>Basic Set Concepts (elements, subsets, types of sets)</t>
        </is>
      </c>
      <c r="D55" s="14" t="inlineStr">
        <is>
          <t>Let U be the universal set containing all integers. Which of the following is a subset of U?</t>
        </is>
      </c>
      <c r="E55" s="14" t="inlineStr">
        <is>
          <t>All prime numbers</t>
        </is>
      </c>
      <c r="F55" s="14" t="inlineStr">
        <is>
          <t>All even numbers</t>
        </is>
      </c>
      <c r="G55" s="14" t="inlineStr">
        <is>
          <t>All odd numbers</t>
        </is>
      </c>
      <c r="H55" s="14" t="inlineStr">
        <is>
          <t>All rational numbers</t>
        </is>
      </c>
      <c r="I55" s="15" t="inlineStr">
        <is>
          <t>A</t>
        </is>
      </c>
      <c r="J55" s="16" t="inlineStr">
        <is>
          <t>All prime numbers are integers.</t>
        </is>
      </c>
    </row>
    <row r="56" ht="42" customHeight="1">
      <c r="A56" s="12" t="n">
        <v>55</v>
      </c>
      <c r="B56" s="13" t="inlineStr">
        <is>
          <t>Medium</t>
        </is>
      </c>
      <c r="C56" s="14" t="inlineStr">
        <is>
          <t>Basic Set Concepts (elements, subsets, types of sets)</t>
        </is>
      </c>
      <c r="D56" s="14" t="inlineStr">
        <is>
          <t>If A = {1, 2, 3} and B = {2, 4}, what is the set difference A \ B equal to?</t>
        </is>
      </c>
      <c r="E56" s="14" t="inlineStr">
        <is>
          <t>[1]</t>
        </is>
      </c>
      <c r="F56" s="14" t="inlineStr">
        <is>
          <t>{1}</t>
        </is>
      </c>
      <c r="G56" s="14" t="inlineStr">
        <is>
          <t>{1, 3}</t>
        </is>
      </c>
      <c r="H56" s="14" t="inlineStr">
        <is>
          <t>{}</t>
        </is>
      </c>
      <c r="I56" s="15" t="inlineStr">
        <is>
          <t>C</t>
        </is>
      </c>
      <c r="J56" s="16" t="inlineStr">
        <is>
          <t>A \ B = {1, 3}.</t>
        </is>
      </c>
    </row>
    <row r="57" ht="42" customHeight="1">
      <c r="A57" s="12" t="n">
        <v>56</v>
      </c>
      <c r="B57" s="13" t="inlineStr">
        <is>
          <t>Medium</t>
        </is>
      </c>
      <c r="C57" s="14" t="inlineStr">
        <is>
          <t>Basic Set Concepts (elements, subsets, types of sets)</t>
        </is>
      </c>
      <c r="D57" s="14" t="inlineStr">
        <is>
          <t>Let S be a set containing all letters in the English alphabet. Which of the following is a subset of S?</t>
        </is>
      </c>
      <c r="E57" s="14" t="inlineStr">
        <is>
          <t>All vowels</t>
        </is>
      </c>
      <c r="F57" s="14" t="inlineStr">
        <is>
          <t>All consonants</t>
        </is>
      </c>
      <c r="G57" s="14" t="inlineStr">
        <is>
          <t>All uppercase letters</t>
        </is>
      </c>
      <c r="H57" s="14" t="inlineStr">
        <is>
          <t>All lowercase letters</t>
        </is>
      </c>
      <c r="I57" s="15" t="inlineStr">
        <is>
          <t>D</t>
        </is>
      </c>
      <c r="J57" s="16" t="inlineStr">
        <is>
          <t>All lowercase letters are a subset of S.</t>
        </is>
      </c>
    </row>
    <row r="58" ht="42" customHeight="1">
      <c r="A58" s="12" t="n">
        <v>57</v>
      </c>
      <c r="B58" s="13" t="inlineStr">
        <is>
          <t>Medium</t>
        </is>
      </c>
      <c r="C58" s="14" t="inlineStr">
        <is>
          <t>Basic Set Concepts (elements, subsets, types of sets)</t>
        </is>
      </c>
      <c r="D58" s="14" t="inlineStr">
        <is>
          <t>If A = {a, b} and B = {b, c}, what is the union set A ∪ B equal to?</t>
        </is>
      </c>
      <c r="E58" s="14" t="inlineStr">
        <is>
          <t>[a, c]</t>
        </is>
      </c>
      <c r="F58" s="14" t="inlineStr">
        <is>
          <t>{a, b, c}</t>
        </is>
      </c>
      <c r="G58" s="14" t="inlineStr">
        <is>
          <t>{a, b}</t>
        </is>
      </c>
      <c r="H58" s="14" t="inlineStr">
        <is>
          <t>{a, c}</t>
        </is>
      </c>
      <c r="I58" s="15" t="inlineStr">
        <is>
          <t>B</t>
        </is>
      </c>
      <c r="J58" s="16" t="inlineStr">
        <is>
          <t>A ∪ B = {a, b, c}.</t>
        </is>
      </c>
    </row>
    <row r="59" ht="42" customHeight="1">
      <c r="A59" s="7" t="n">
        <v>58</v>
      </c>
      <c r="B59" s="8" t="inlineStr">
        <is>
          <t>Easy</t>
        </is>
      </c>
      <c r="C59" s="9" t="inlineStr">
        <is>
          <t>De Morgan’s Laws</t>
        </is>
      </c>
      <c r="D59" s="9" t="inlineStr">
        <is>
          <t>(A ∪ B)′ = ?</t>
        </is>
      </c>
      <c r="E59" s="9" t="inlineStr">
        <is>
          <t>A′ ∩ B′</t>
        </is>
      </c>
      <c r="F59" s="9" t="inlineStr">
        <is>
          <t>B′ ∩ A'</t>
        </is>
      </c>
      <c r="G59" s="9" t="inlineStr">
        <is>
          <t>(A′ ∪ B')</t>
        </is>
      </c>
      <c r="H59" s="9" t="inlineStr">
        <is>
          <t>(A ∩ B')</t>
        </is>
      </c>
      <c r="I59" s="10" t="inlineStr">
        <is>
          <t>D</t>
        </is>
      </c>
      <c r="J59" s="11" t="inlineStr">
        <is>
          <t>(By De Morgan's Law, the complement of union is equal to the intersection of complements)</t>
        </is>
      </c>
    </row>
    <row r="60" ht="42" customHeight="1">
      <c r="A60" s="7" t="n">
        <v>59</v>
      </c>
      <c r="B60" s="8" t="inlineStr">
        <is>
          <t>Easy</t>
        </is>
      </c>
      <c r="C60" s="9" t="inlineStr">
        <is>
          <t>De Morgan’s Laws</t>
        </is>
      </c>
      <c r="D60" s="9" t="inlineStr">
        <is>
          <t>(A ∩ B)′ ∩ (A ∪ B)' = ?</t>
        </is>
      </c>
      <c r="E60" s="9" t="inlineStr">
        <is>
          <t>∅</t>
        </is>
      </c>
      <c r="F60" s="9" t="inlineStr">
        <is>
          <t>A′ ∩ B'</t>
        </is>
      </c>
      <c r="G60" s="9" t="inlineStr">
        <is>
          <t>B′ ∩ A</t>
        </is>
      </c>
      <c r="H60" s="9" t="inlineStr">
        <is>
          <t>(A ∩ B)</t>
        </is>
      </c>
      <c r="I60" s="10" t="inlineStr">
        <is>
          <t>C</t>
        </is>
      </c>
      <c r="J60" s="11" t="inlineStr">
        <is>
          <t>(By De Morgan's Law, the intersection of complements of union and intersection is empty)</t>
        </is>
      </c>
    </row>
    <row r="61" ht="42" customHeight="1">
      <c r="A61" s="12" t="n">
        <v>60</v>
      </c>
      <c r="B61" s="13" t="inlineStr">
        <is>
          <t>Medium</t>
        </is>
      </c>
      <c r="C61" s="14" t="inlineStr">
        <is>
          <t>Venn Diagram Problems (2 sets)</t>
        </is>
      </c>
      <c r="D61" s="14" t="inlineStr">
        <is>
          <t>Let U be the universal set containing all students in a university. If A represents the set of students who are engineers, B represents the set of students who are from India, and C represents the set of students who are both engineers and from India, which of the following is true?</t>
        </is>
      </c>
      <c r="E61" s="14" t="inlineStr">
        <is>
          <t>A∩B⊆C</t>
        </is>
      </c>
      <c r="F61" s="14" t="inlineStr">
        <is>
          <t>A∪B⊇C</t>
        </is>
      </c>
      <c r="G61" s="14" t="inlineStr">
        <is>
          <t>A∩B=C</t>
        </is>
      </c>
      <c r="H61" s="14" t="inlineStr">
        <is>
          <t>B⊆A\</t>
        </is>
      </c>
      <c r="I61" s="15" t="inlineStr">
        <is>
          <t>D</t>
        </is>
      </c>
      <c r="J61" s="16" t="inlineStr">
        <is>
          <t>A∩B⊆C</t>
        </is>
      </c>
    </row>
    <row r="62" ht="42" customHeight="1">
      <c r="A62" s="12" t="n">
        <v>61</v>
      </c>
      <c r="B62" s="13" t="inlineStr">
        <is>
          <t>Medium</t>
        </is>
      </c>
      <c r="C62" s="14" t="inlineStr">
        <is>
          <t>Venn Diagram Problems (2 sets)</t>
        </is>
      </c>
      <c r="D62" s="14" t="inlineStr">
        <is>
          <t>Let A and B be two sets such that</t>
        </is>
      </c>
      <c r="E62" s="14" t="inlineStr">
        <is>
          <t>A</t>
        </is>
      </c>
      <c r="F62" s="14">
        <f>8,</f>
        <v/>
      </c>
      <c r="G62" s="14" t="inlineStr">
        <is>
          <t>B</t>
        </is>
      </c>
      <c r="H62" s="14">
        <f>12, and</f>
        <v/>
      </c>
      <c r="I62" s="15" t="inlineStr">
        <is>
          <t>A</t>
        </is>
      </c>
      <c r="J62" s="16">
        <f>3. What is the value of</f>
        <v/>
      </c>
    </row>
    <row r="63" ht="42" customHeight="1">
      <c r="A63" s="12" t="n">
        <v>62</v>
      </c>
      <c r="B63" s="13" t="inlineStr">
        <is>
          <t>Medium</t>
        </is>
      </c>
      <c r="C63" s="14" t="inlineStr">
        <is>
          <t>Word Problems using Sets</t>
        </is>
      </c>
      <c r="D63" s="14" t="inlineStr">
        <is>
          <t>A bakery offers a discount on bulk orders. If buying 3 sets of cookies (each set contains 2 dozen) costs $24, and buying 5 sets of cookies costs $40, find the cost of one set of cookies.</t>
        </is>
      </c>
      <c r="E63" s="14" t="inlineStr">
        <is>
          <t>$8</t>
        </is>
      </c>
      <c r="F63" s="14" t="inlineStr">
        <is>
          <t>$12</t>
        </is>
      </c>
      <c r="G63" s="14" t="inlineStr">
        <is>
          <t>$16</t>
        </is>
      </c>
      <c r="H63" s="14" t="inlineStr">
        <is>
          <t>$20</t>
        </is>
      </c>
      <c r="I63" s="15" t="inlineStr">
        <is>
          <t>D</t>
        </is>
      </c>
      <c r="J63" s="16" t="inlineStr">
        <is>
          <t>Use ratio to find the cost of one set: 3 sets = $24 → 1 set = $24/3 = $8.</t>
        </is>
      </c>
    </row>
    <row r="64" ht="42" customHeight="1">
      <c r="A64" s="12" t="n">
        <v>63</v>
      </c>
      <c r="B64" s="13" t="inlineStr">
        <is>
          <t>Medium</t>
        </is>
      </c>
      <c r="C64" s="14" t="inlineStr">
        <is>
          <t>Word Problems using Sets</t>
        </is>
      </c>
      <c r="D64" s="14" t="inlineStr">
        <is>
          <t>A company has two types of employees: full-time and part-time. If there are 15 full-time employees, 20 part-time employees, and a total of 30 employees who earn more than $50,000 per year, find the number of full-time employees earning more than $50,000 per year.</t>
        </is>
      </c>
      <c r="E64" s="14" t="inlineStr">
        <is>
          <t>5</t>
        </is>
      </c>
      <c r="F64" s="14" t="inlineStr">
        <is>
          <t>10</t>
        </is>
      </c>
      <c r="G64" s="14" t="inlineStr">
        <is>
          <t>12</t>
        </is>
      </c>
      <c r="H64" s="14" t="inlineStr">
        <is>
          <t>15</t>
        </is>
      </c>
      <c r="I64" s="15" t="inlineStr">
        <is>
          <t>A</t>
        </is>
      </c>
      <c r="J64" s="16" t="inlineStr">
        <is>
          <t>Use Venn diagram to find the intersection: Full-time ∩ High-earning = 5.</t>
        </is>
      </c>
    </row>
    <row r="65" ht="42" customHeight="1">
      <c r="A65" s="12" t="n">
        <v>64</v>
      </c>
      <c r="B65" s="13" t="inlineStr">
        <is>
          <t>Medium</t>
        </is>
      </c>
      <c r="C65" s="14" t="inlineStr">
        <is>
          <t>Word Problems using Sets</t>
        </is>
      </c>
      <c r="D65" s="14" t="inlineStr">
        <is>
          <t>A library has three types of books: fiction, non-fiction, and biographies. If there are 120 fiction books, 150 non-fiction books, and a total of 200 books written by authors who won the Nobel Prize, find the number of biography books written by Nobel laureates.</t>
        </is>
      </c>
      <c r="E65" s="14" t="inlineStr">
        <is>
          <t>30</t>
        </is>
      </c>
      <c r="F65" s="14" t="inlineStr">
        <is>
          <t>40</t>
        </is>
      </c>
      <c r="G65" s="14" t="inlineStr">
        <is>
          <t>50</t>
        </is>
      </c>
      <c r="H65" s="14" t="inlineStr">
        <is>
          <t>60</t>
        </is>
      </c>
      <c r="I65" s="15" t="inlineStr">
        <is>
          <t>C</t>
        </is>
      </c>
      <c r="J65" s="16" t="inlineStr">
        <is>
          <t>Use Venn diagram to find the intersection: Biographies ∩ Nobel = 50.</t>
        </is>
      </c>
    </row>
    <row r="66" ht="42" customHeight="1">
      <c r="A66" s="12" t="n">
        <v>65</v>
      </c>
      <c r="B66" s="13" t="inlineStr">
        <is>
          <t>Medium</t>
        </is>
      </c>
      <c r="C66" s="14" t="inlineStr">
        <is>
          <t>Word Problems using Sets</t>
        </is>
      </c>
      <c r="D66" s="14" t="inlineStr">
        <is>
          <t>A university has two types of students: undergraduate and graduate. If there are 3000 undergraduate students, 2000 graduate students, and a total of 3500 students who have studied abroad, find the number of graduate students who have studied abroad.</t>
        </is>
      </c>
      <c r="E66" s="14" t="inlineStr">
        <is>
          <t>500</t>
        </is>
      </c>
      <c r="F66" s="14" t="inlineStr">
        <is>
          <t>700</t>
        </is>
      </c>
      <c r="G66" s="14" t="inlineStr">
        <is>
          <t>800</t>
        </is>
      </c>
      <c r="H66" s="14" t="inlineStr">
        <is>
          <t>1000</t>
        </is>
      </c>
      <c r="I66" s="15" t="inlineStr">
        <is>
          <t>B</t>
        </is>
      </c>
      <c r="J66" s="16" t="inlineStr">
        <is>
          <t>Use Venn diagram to find the intersection: Graduate ∩ Studied-abroad = 800.</t>
        </is>
      </c>
    </row>
    <row r="67" ht="42" customHeight="1">
      <c r="A67" s="2" t="n">
        <v>66</v>
      </c>
      <c r="B67" s="3" t="inlineStr">
        <is>
          <t>Hard</t>
        </is>
      </c>
      <c r="C67" s="4" t="inlineStr">
        <is>
          <t>Venn Diagram Problems (3 sets)</t>
        </is>
      </c>
      <c r="D67" s="4" t="inlineStr">
        <is>
          <t>Three sets U, A, and B satisfy UAUB. If</t>
        </is>
      </c>
      <c r="E67" s="4" t="inlineStr">
        <is>
          <t>U</t>
        </is>
      </c>
      <c r="F67" s="4">
        <f>10,</f>
        <v/>
      </c>
      <c r="G67" s="4" t="inlineStr">
        <is>
          <t>A</t>
        </is>
      </c>
      <c r="H67" s="4">
        <f>5, and</f>
        <v/>
      </c>
      <c r="I67" s="5" t="inlineStr">
        <is>
          <t>B</t>
        </is>
      </c>
      <c r="J67" s="6">
        <f>6, find</f>
        <v/>
      </c>
    </row>
    <row r="68" ht="42" customHeight="1">
      <c r="A68" s="2" t="n">
        <v>67</v>
      </c>
      <c r="B68" s="3" t="inlineStr">
        <is>
          <t>Hard</t>
        </is>
      </c>
      <c r="C68" s="4" t="inlineStr">
        <is>
          <t>Venn Diagram Problems (3 sets)</t>
        </is>
      </c>
      <c r="D68" s="4" t="inlineStr">
        <is>
          <t>In a Venn diagram with three overlapping sets,</t>
        </is>
      </c>
      <c r="E68" s="4" t="inlineStr">
        <is>
          <t>A</t>
        </is>
      </c>
      <c r="F68" s="4">
        <f>8,</f>
        <v/>
      </c>
      <c r="G68" s="4" t="inlineStr">
        <is>
          <t>B</t>
        </is>
      </c>
      <c r="H68" s="4">
        <f>12, and</f>
        <v/>
      </c>
      <c r="I68" s="5" t="inlineStr">
        <is>
          <t>A</t>
        </is>
      </c>
      <c r="J68" s="6">
        <f>6. If</f>
        <v/>
      </c>
    </row>
    <row r="69" ht="42" customHeight="1">
      <c r="A69" s="7" t="n">
        <v>68</v>
      </c>
      <c r="B69" s="8" t="inlineStr">
        <is>
          <t>Easy</t>
        </is>
      </c>
      <c r="C69" s="9" t="inlineStr">
        <is>
          <t>Basic Set Concepts (elements, subsets, types of sets)</t>
        </is>
      </c>
      <c r="D69" s="9" t="inlineStr">
        <is>
          <t>If A = {1, 2, 3} and B = {2, 4}, find A ∩ B</t>
        </is>
      </c>
      <c r="E69" s="9" t="inlineStr">
        <is>
          <t>{2}</t>
        </is>
      </c>
      <c r="F69" s="9" t="inlineStr">
        <is>
          <t>{1, 2, 3} ∩ {2, 4} = {2}</t>
        </is>
      </c>
      <c r="G69" s="9" t="inlineStr">
        <is>
          <t>{1, 2, 3} ∩ {2, 4} = {}</t>
        </is>
      </c>
      <c r="H69" s="9" t="inlineStr">
        <is>
          <t>{1, 2, 3} ∩ {2, 4} = {1, 4}</t>
        </is>
      </c>
      <c r="I69" s="10" t="inlineStr">
        <is>
          <t>B</t>
        </is>
      </c>
      <c r="J69" s="11" t="inlineStr">
        <is>
          <t>The intersection of two sets is the set of elements common to both.</t>
        </is>
      </c>
    </row>
    <row r="70" ht="42" customHeight="1">
      <c r="A70" s="7" t="n">
        <v>69</v>
      </c>
      <c r="B70" s="8" t="inlineStr">
        <is>
          <t>Easy</t>
        </is>
      </c>
      <c r="C70" s="9" t="inlineStr">
        <is>
          <t>Basic Set Concepts (elements, subsets, types of sets)</t>
        </is>
      </c>
      <c r="D70" s="9" t="inlineStr">
        <is>
          <t>Let A and B be finite sets. If</t>
        </is>
      </c>
      <c r="E70" s="9" t="inlineStr">
        <is>
          <t>A</t>
        </is>
      </c>
      <c r="F70" s="9">
        <f> 5 and</f>
        <v/>
      </c>
      <c r="G70" s="9" t="inlineStr">
        <is>
          <t>A ∪ B</t>
        </is>
      </c>
      <c r="H70" s="9">
        <f> 8, find</f>
        <v/>
      </c>
      <c r="I70" s="10" t="inlineStr">
        <is>
          <t>B</t>
        </is>
      </c>
      <c r="J70" s="11" t="inlineStr"/>
    </row>
    <row r="71" ht="42" customHeight="1">
      <c r="A71" s="7" t="n">
        <v>70</v>
      </c>
      <c r="B71" s="8" t="inlineStr">
        <is>
          <t>Easy</t>
        </is>
      </c>
      <c r="C71" s="9" t="inlineStr">
        <is>
          <t>Operations on Sets (union, intersection, difference)</t>
        </is>
      </c>
      <c r="D71" s="9" t="inlineStr">
        <is>
          <t>Let U = {1, 2, 3}, A = {1, 2} and B = {2, 3}. Find A ∩ B</t>
        </is>
      </c>
      <c r="E71" s="9" t="inlineStr">
        <is>
          <t>A only</t>
        </is>
      </c>
      <c r="F71" s="9" t="inlineStr">
        <is>
          <t>B only</t>
        </is>
      </c>
      <c r="G71" s="9" t="inlineStr">
        <is>
          <t>{1, 2}</t>
        </is>
      </c>
      <c r="H71" s="9" t="inlineStr">
        <is>
          <t>{2, 3}</t>
        </is>
      </c>
      <c r="I71" s="10" t="inlineStr">
        <is>
          <t>C</t>
        </is>
      </c>
      <c r="J71" s="11" t="inlineStr">
        <is>
          <t>The sets intersect at elements 2.</t>
        </is>
      </c>
    </row>
    <row r="72" ht="42" customHeight="1">
      <c r="A72" s="7" t="n">
        <v>71</v>
      </c>
      <c r="B72" s="8" t="inlineStr">
        <is>
          <t>Easy</t>
        </is>
      </c>
      <c r="C72" s="9" t="inlineStr">
        <is>
          <t>Operations on Sets (union, intersection, difference)</t>
        </is>
      </c>
      <c r="D72" s="9" t="inlineStr">
        <is>
          <t>Let U = {a, b, c}, A = {a, b} and B = {b, c}. Find A ∪ B</t>
        </is>
      </c>
      <c r="E72" s="9" t="inlineStr">
        <is>
          <t>A only</t>
        </is>
      </c>
      <c r="F72" s="9" t="inlineStr">
        <is>
          <t>B only</t>
        </is>
      </c>
      <c r="G72" s="9" t="inlineStr">
        <is>
          <t>{a, b, c}</t>
        </is>
      </c>
      <c r="H72" s="9" t="inlineStr">
        <is>
          <t>{a, c}</t>
        </is>
      </c>
      <c r="I72" s="10" t="inlineStr">
        <is>
          <t>D</t>
        </is>
      </c>
      <c r="J72" s="11" t="inlineStr">
        <is>
          <t>The union of sets is the set of all elements that are in either set.</t>
        </is>
      </c>
    </row>
    <row r="73" ht="42" customHeight="1">
      <c r="A73" s="7" t="n">
        <v>72</v>
      </c>
      <c r="B73" s="8" t="inlineStr">
        <is>
          <t>Easy</t>
        </is>
      </c>
      <c r="C73" s="9" t="inlineStr">
        <is>
          <t>Operations on Sets (union, intersection, difference)</t>
        </is>
      </c>
      <c r="D73" s="9" t="inlineStr">
        <is>
          <t>Let U = {1, 2, 3}, A = {1} and B = {2}. Find A ∆ B</t>
        </is>
      </c>
      <c r="E73" s="9" t="inlineStr">
        <is>
          <t>{1, 3}</t>
        </is>
      </c>
      <c r="F73" s="9" t="inlineStr">
        <is>
          <t>{1, 2}</t>
        </is>
      </c>
      <c r="G73" s="9" t="inlineStr">
        <is>
          <t>{2, 3}</t>
        </is>
      </c>
      <c r="H73" s="9" t="inlineStr">
        <is>
          <t>{}</t>
        </is>
      </c>
      <c r="I73" s="10" t="inlineStr">
        <is>
          <t>B</t>
        </is>
      </c>
      <c r="J73" s="11" t="inlineStr">
        <is>
          <t>The difference of sets is the set of elements that are in one set but not the other.</t>
        </is>
      </c>
    </row>
    <row r="74" ht="42" customHeight="1">
      <c r="A74" s="7" t="n">
        <v>73</v>
      </c>
      <c r="B74" s="8" t="inlineStr">
        <is>
          <t>Easy</t>
        </is>
      </c>
      <c r="C74" s="9" t="inlineStr">
        <is>
          <t>Operations on Sets (union, intersection, difference)</t>
        </is>
      </c>
      <c r="D74" s="9" t="inlineStr">
        <is>
          <t>Let U = {x, y}, A = {x} and B = {}. Find A ∩ B</t>
        </is>
      </c>
      <c r="E74" s="9" t="inlineStr">
        <is>
          <t>{x}</t>
        </is>
      </c>
      <c r="F74" s="9" t="inlineStr">
        <is>
          <t>{}</t>
        </is>
      </c>
      <c r="G74" s="9" t="inlineStr">
        <is>
          <t>A only</t>
        </is>
      </c>
      <c r="H74" s="9" t="inlineStr">
        <is>
          <t>B only</t>
        </is>
      </c>
      <c r="I74" s="10" t="inlineStr">
        <is>
          <t>C</t>
        </is>
      </c>
      <c r="J74" s="11" t="inlineStr">
        <is>
          <t>The intersection of sets is always empty when one set is a subset of the other.</t>
        </is>
      </c>
    </row>
    <row r="75" ht="42" customHeight="1">
      <c r="A75" s="12" t="n">
        <v>74</v>
      </c>
      <c r="B75" s="13" t="inlineStr">
        <is>
          <t>Medium</t>
        </is>
      </c>
      <c r="C75" s="14" t="inlineStr">
        <is>
          <t>Set Identities and Properties</t>
        </is>
      </c>
      <c r="D75" s="14" t="inlineStr">
        <is>
          <t>Let U be the universal set, A and B be subsets of U. If</t>
        </is>
      </c>
      <c r="E75" s="14" t="inlineStr">
        <is>
          <t>A ∪ B</t>
        </is>
      </c>
      <c r="F75" s="14">
        <f> 10 and</f>
        <v/>
      </c>
      <c r="G75" s="14" t="inlineStr">
        <is>
          <t>A ∩ B</t>
        </is>
      </c>
      <c r="H75" s="14">
        <f> 2, find</f>
        <v/>
      </c>
      <c r="I75" s="15" t="inlineStr">
        <is>
          <t>A</t>
        </is>
      </c>
      <c r="J75" s="16" t="inlineStr">
        <is>
          <t>+</t>
        </is>
      </c>
    </row>
    <row r="76" ht="42" customHeight="1">
      <c r="A76" s="12" t="n">
        <v>75</v>
      </c>
      <c r="B76" s="13" t="inlineStr">
        <is>
          <t>Medium</t>
        </is>
      </c>
      <c r="C76" s="14" t="inlineStr">
        <is>
          <t>Set Identities and Properties</t>
        </is>
      </c>
      <c r="D76" s="14" t="inlineStr">
        <is>
          <t>If A and B are sets such that A ⊆ B and</t>
        </is>
      </c>
      <c r="E76" s="14" t="inlineStr">
        <is>
          <t>A</t>
        </is>
      </c>
      <c r="F76" s="14">
        <f> 5, find</f>
        <v/>
      </c>
      <c r="G76" s="14" t="inlineStr">
        <is>
          <t>B</t>
        </is>
      </c>
      <c r="H76" s="14" t="inlineStr">
        <is>
          <t>. A) 5 B) 8 C) 10 D) 12</t>
        </is>
      </c>
      <c r="I76" s="15" t="inlineStr">
        <is>
          <t>C</t>
        </is>
      </c>
      <c r="J76" s="16" t="inlineStr">
        <is>
          <t>Use subset relation to determine the size of the larger set.</t>
        </is>
      </c>
    </row>
    <row r="77" ht="42" customHeight="1">
      <c r="A77" s="12" t="n">
        <v>76</v>
      </c>
      <c r="B77" s="13" t="inlineStr">
        <is>
          <t>Medium</t>
        </is>
      </c>
      <c r="C77" s="14" t="inlineStr">
        <is>
          <t>Set Identities and Properties</t>
        </is>
      </c>
      <c r="D77" s="14" t="inlineStr">
        <is>
          <t>If A and B are sets such that</t>
        </is>
      </c>
      <c r="E77" s="14" t="inlineStr">
        <is>
          <t>A ∪ B</t>
        </is>
      </c>
      <c r="F77" s="14">
        <f> 12,</f>
        <v/>
      </c>
      <c r="G77" s="14" t="inlineStr">
        <is>
          <t>A ∩ B</t>
        </is>
      </c>
      <c r="H77" s="14">
        <f> 3, and</f>
        <v/>
      </c>
      <c r="I77" s="15" t="inlineStr">
        <is>
          <t>A</t>
        </is>
      </c>
      <c r="J77" s="16">
        <f> 8, find</f>
        <v/>
      </c>
    </row>
    <row r="78" ht="42" customHeight="1">
      <c r="A78" s="7" t="n">
        <v>77</v>
      </c>
      <c r="B78" s="8" t="inlineStr">
        <is>
          <t>Easy</t>
        </is>
      </c>
      <c r="C78" s="9" t="inlineStr">
        <is>
          <t>Cardinality of Sets</t>
        </is>
      </c>
      <c r="D78" s="9" t="inlineStr">
        <is>
          <t>Two sets A and B have cardinalities</t>
        </is>
      </c>
      <c r="E78" s="9" t="inlineStr">
        <is>
          <t>n(A)</t>
        </is>
      </c>
      <c r="F78" s="9">
        <f> 5 and</f>
        <v/>
      </c>
      <c r="G78" s="9" t="inlineStr">
        <is>
          <t>n(B)</t>
        </is>
      </c>
      <c r="H78" s="9">
        <f> 3. What is the maximum possible value of</f>
        <v/>
      </c>
      <c r="I78" s="10" t="inlineStr">
        <is>
          <t>A</t>
        </is>
      </c>
      <c r="J78" s="11" t="inlineStr">
        <is>
          <t>?</t>
        </is>
      </c>
    </row>
    <row r="79" ht="42" customHeight="1">
      <c r="A79" s="7" t="n">
        <v>78</v>
      </c>
      <c r="B79" s="8" t="inlineStr">
        <is>
          <t>Easy</t>
        </is>
      </c>
      <c r="C79" s="9" t="inlineStr">
        <is>
          <t>Application-based Set Theory Problems</t>
        </is>
      </c>
      <c r="D79" s="9" t="inlineStr">
        <is>
          <t>If A = {1, 2, 3} and B = {2, 3, 4}, find A ∪ B - (A ∩ B).</t>
        </is>
      </c>
      <c r="E79" s="9" t="inlineStr">
        <is>
          <t>{1, 2, 3, 4}</t>
        </is>
      </c>
      <c r="F79" s="9" t="inlineStr">
        <is>
          <t>{1, 2, 3, 4}</t>
        </is>
      </c>
      <c r="G79" s="9" t="inlineStr">
        <is>
          <t>{1, 2, 3, 4}</t>
        </is>
      </c>
      <c r="H79" s="9" t="inlineStr">
        <is>
          <t>{1, 2, 3, 4}</t>
        </is>
      </c>
      <c r="I79" s="10" t="inlineStr">
        <is>
          <t>D</t>
        </is>
      </c>
      <c r="J79" s="11" t="inlineStr">
        <is>
          <t>Use set operations to find the union and intersection.</t>
        </is>
      </c>
    </row>
    <row r="80" ht="42" customHeight="1">
      <c r="A80" s="7" t="n">
        <v>79</v>
      </c>
      <c r="B80" s="8" t="inlineStr">
        <is>
          <t>Easy</t>
        </is>
      </c>
      <c r="C80" s="9" t="inlineStr">
        <is>
          <t>Application-based Set Theory Problems</t>
        </is>
      </c>
      <c r="D80" s="9" t="inlineStr">
        <is>
          <t>If A is a subset of B and C is a subset of A, prove that C is also a subset of B.</t>
        </is>
      </c>
      <c r="E80" s="9" t="inlineStr">
        <is>
          <t>-</t>
        </is>
      </c>
      <c r="F80" s="9" t="inlineStr">
        <is>
          <t>-</t>
        </is>
      </c>
      <c r="G80" s="9" t="inlineStr">
        <is>
          <t>-</t>
        </is>
      </c>
      <c r="H80" s="9" t="inlineStr">
        <is>
          <t>-</t>
        </is>
      </c>
      <c r="I80" s="10" t="inlineStr">
        <is>
          <t>A</t>
        </is>
      </c>
      <c r="J80" s="11" t="inlineStr">
        <is>
          <t>Transitive property: if A ⊆ B and C ⊆ A, then C ⊆ B.</t>
        </is>
      </c>
    </row>
    <row r="81" ht="42" customHeight="1">
      <c r="A81" s="2" t="n">
        <v>80</v>
      </c>
      <c r="B81" s="3" t="inlineStr">
        <is>
          <t>Hard</t>
        </is>
      </c>
      <c r="C81" s="4" t="inlineStr">
        <is>
          <t>De Morgan’s Laws</t>
        </is>
      </c>
      <c r="D81" s="4" t="inlineStr">
        <is>
          <t>Let U be the universal set, A and B be subsets. If A ∩ B' = φ and A' ∩ B = φ, then which of the following is true?</t>
        </is>
      </c>
      <c r="E81" s="4" t="inlineStr">
        <is>
          <t>A' ∪ B' = U'</t>
        </is>
      </c>
      <c r="F81" s="4" t="inlineStr">
        <is>
          <t>B' ∩ (A ∪ B) = φ</t>
        </is>
      </c>
      <c r="G81" s="4" t="inlineStr">
        <is>
          <t>A ∪ B' = U</t>
        </is>
      </c>
      <c r="H81" s="4" t="inlineStr">
        <is>
          <t>A ∩ B = U</t>
        </is>
      </c>
      <c r="I81" s="5" t="inlineStr">
        <is>
          <t>D</t>
        </is>
      </c>
      <c r="J81" s="6" t="inlineStr">
        <is>
          <t>A' ∩ B' = U</t>
        </is>
      </c>
    </row>
    <row r="82" ht="42" customHeight="1">
      <c r="A82" s="2" t="n">
        <v>81</v>
      </c>
      <c r="B82" s="3" t="inlineStr">
        <is>
          <t>Hard</t>
        </is>
      </c>
      <c r="C82" s="4" t="inlineStr">
        <is>
          <t>De Morgan’s Laws</t>
        </is>
      </c>
      <c r="D82" s="4" t="inlineStr">
        <is>
          <t>(P ∧ Q)' and P' ∨ Q' are equivalent to which of the following?</t>
        </is>
      </c>
      <c r="E82" s="4" t="inlineStr">
        <is>
          <t>¬(P ∨ Q)</t>
        </is>
      </c>
      <c r="F82" s="4" t="inlineStr">
        <is>
          <t>P ∧ ¬Q</t>
        </is>
      </c>
      <c r="G82" s="4" t="inlineStr">
        <is>
          <t>P ∨ ¬Q</t>
        </is>
      </c>
      <c r="H82" s="4" t="inlineStr">
        <is>
          <t>P ∧ Q</t>
        </is>
      </c>
      <c r="I82" s="5" t="inlineStr">
        <is>
          <t>B</t>
        </is>
      </c>
      <c r="J82" s="6" t="inlineStr">
        <is>
          <t>(P ∧ Q) ∨ (P ∧ ¬Q)</t>
        </is>
      </c>
    </row>
    <row r="83" ht="42" customHeight="1">
      <c r="A83" s="2" t="n">
        <v>82</v>
      </c>
      <c r="B83" s="3" t="inlineStr">
        <is>
          <t>Hard</t>
        </is>
      </c>
      <c r="C83" s="4" t="inlineStr">
        <is>
          <t>De Morgan’s Laws</t>
        </is>
      </c>
      <c r="D83" s="4" t="inlineStr">
        <is>
          <t>Let A, B, C be subsets. If A ∩ (B ∪ C)' = φ and A' ∩ (B ∩ C) = φ, then which of the following is true?</t>
        </is>
      </c>
      <c r="E83" s="4" t="inlineStr">
        <is>
          <t>A ∪ (B ∩ C) = U'</t>
        </is>
      </c>
      <c r="F83" s="4" t="inlineStr">
        <is>
          <t>(A ∪ B) ∩ (A ∪ C) = U</t>
        </is>
      </c>
      <c r="G83" s="4" t="inlineStr">
        <is>
          <t>A ∩ (B ∪ C) = U</t>
        </is>
      </c>
      <c r="H83" s="4" t="inlineStr">
        <is>
          <t>(A ∪ B)' ∩ (A ∪ C)' = U</t>
        </is>
      </c>
      <c r="I83" s="5" t="inlineStr">
        <is>
          <t>D</t>
        </is>
      </c>
      <c r="J83" s="6" t="inlineStr">
        <is>
          <t>(A ∩ B) ∪ (A ∩ C) = U</t>
        </is>
      </c>
    </row>
    <row r="84" ht="42" customHeight="1">
      <c r="A84" s="2" t="n">
        <v>83</v>
      </c>
      <c r="B84" s="3" t="inlineStr">
        <is>
          <t>Hard</t>
        </is>
      </c>
      <c r="C84" s="4" t="inlineStr">
        <is>
          <t>De Morgan’s Laws</t>
        </is>
      </c>
      <c r="D84" s="4" t="inlineStr">
        <is>
          <t>Let A, B be subsets. If P:=(A ∩ B)' and Q:=(A' ∩ B')', then which of the following is true?</t>
        </is>
      </c>
      <c r="E84" s="4" t="inlineStr">
        <is>
          <t>P ∧ Q = φ'</t>
        </is>
      </c>
      <c r="F84" s="4" t="inlineStr">
        <is>
          <t>P ∨ Q = U'</t>
        </is>
      </c>
      <c r="G84" s="4" t="inlineStr">
        <is>
          <t>P ∧ ¬Q = U</t>
        </is>
      </c>
      <c r="H84" s="4" t="inlineStr">
        <is>
          <t>P ∨ Q = φ</t>
        </is>
      </c>
      <c r="I84" s="5" t="inlineStr">
        <is>
          <t>C</t>
        </is>
      </c>
      <c r="J84" s="6" t="inlineStr">
        <is>
          <t>(P ∧ Q) = U</t>
        </is>
      </c>
    </row>
    <row r="85" ht="42" customHeight="1">
      <c r="A85" s="2" t="n">
        <v>84</v>
      </c>
      <c r="B85" s="3" t="inlineStr">
        <is>
          <t>Hard</t>
        </is>
      </c>
      <c r="C85" s="4" t="inlineStr">
        <is>
          <t>Application-based Set Theory Problems</t>
        </is>
      </c>
      <c r="D85" s="4" t="inlineStr">
        <is>
          <t>In a certain city, 60% of the population has brown eyes, 70% have blue eyes, and 10% have both. Find the percentage of people with neither brown nor blue eyes.</t>
        </is>
      </c>
      <c r="E85" s="4" t="inlineStr">
        <is>
          <t>40</t>
        </is>
      </c>
      <c r="F85" s="4" t="inlineStr">
        <is>
          <t>30</t>
        </is>
      </c>
      <c r="G85" s="4" t="inlineStr">
        <is>
          <t>20</t>
        </is>
      </c>
      <c r="H85" s="4" t="inlineStr">
        <is>
          <t>10</t>
        </is>
      </c>
      <c r="I85" s="5" t="inlineStr">
        <is>
          <t>A</t>
        </is>
      </c>
      <c r="J85" s="6" t="inlineStr">
        <is>
          <t>Use set operations to find complement.</t>
        </is>
      </c>
    </row>
    <row r="86" ht="42" customHeight="1">
      <c r="A86" s="2" t="n">
        <v>85</v>
      </c>
      <c r="B86" s="3" t="inlineStr">
        <is>
          <t>Hard</t>
        </is>
      </c>
      <c r="C86" s="4" t="inlineStr">
        <is>
          <t>Application-based Set Theory Problems</t>
        </is>
      </c>
      <c r="D86" s="4" t="inlineStr">
        <is>
          <t>In a survey, 80% of students like pizza, 60% like burgers, and 50% like both. What is the percentage of students who do not like either?</t>
        </is>
      </c>
      <c r="E86" s="4" t="inlineStr">
        <is>
          <t>40</t>
        </is>
      </c>
      <c r="F86" s="4" t="inlineStr">
        <is>
          <t>30</t>
        </is>
      </c>
      <c r="G86" s="4" t="inlineStr">
        <is>
          <t>20</t>
        </is>
      </c>
      <c r="H86" s="4" t="inlineStr">
        <is>
          <t>10</t>
        </is>
      </c>
      <c r="I86" s="5" t="inlineStr">
        <is>
          <t>D</t>
        </is>
      </c>
      <c r="J86" s="6" t="inlineStr">
        <is>
          <t>Use set operations to find complement.</t>
        </is>
      </c>
    </row>
    <row r="87" ht="42" customHeight="1">
      <c r="A87" s="7" t="n">
        <v>86</v>
      </c>
      <c r="B87" s="8" t="inlineStr">
        <is>
          <t>Easy</t>
        </is>
      </c>
      <c r="C87" s="9" t="inlineStr">
        <is>
          <t>Complement of Sets</t>
        </is>
      </c>
      <c r="D87" s="9" t="inlineStr">
        <is>
          <t>If A ∩ B = {x}, what is the complement of A ∪ B?</t>
        </is>
      </c>
      <c r="E87" s="9" t="inlineStr">
        <is>
          <t>{y} where y ∈ U and y ≠ x</t>
        </is>
      </c>
      <c r="F87" s="9" t="inlineStr">
        <is>
          <t>{z} where z ∈ U and z ≠ x</t>
        </is>
      </c>
      <c r="G87" s="9" t="inlineStr">
        <is>
          <t>{w} where w ∈ U and w ≠ x</t>
        </is>
      </c>
      <c r="H87" s="9" t="inlineStr">
        <is>
          <t>{v} where v ∈ U and v ≠ x</t>
        </is>
      </c>
      <c r="I87" s="10" t="inlineStr">
        <is>
          <t>A</t>
        </is>
      </c>
      <c r="J87" s="11" t="inlineStr">
        <is>
          <t>The complement of A ∪ B is the set of all elements in U that are not in either A or B.</t>
        </is>
      </c>
    </row>
    <row r="88" ht="42" customHeight="1">
      <c r="A88" s="7" t="n">
        <v>87</v>
      </c>
      <c r="B88" s="8" t="inlineStr">
        <is>
          <t>Easy</t>
        </is>
      </c>
      <c r="C88" s="9" t="inlineStr">
        <is>
          <t>Complement of Sets</t>
        </is>
      </c>
      <c r="D88" s="9" t="inlineStr">
        <is>
          <t>Let A be a subset of the universal set U. What is the relationship between A and its complement?</t>
        </is>
      </c>
      <c r="E88" s="9" t="inlineStr">
        <is>
          <t>A and its complement are disjoint sets</t>
        </is>
      </c>
      <c r="F88" s="9" t="inlineStr">
        <is>
          <t>A is a proper subset of its complement</t>
        </is>
      </c>
      <c r="G88" s="9" t="inlineStr">
        <is>
          <t>The complement of A is a proper subset of A</t>
        </is>
      </c>
      <c r="H88" s="9" t="inlineStr">
        <is>
          <t>A and its complement have an empty intersection</t>
        </is>
      </c>
      <c r="I88" s="10" t="inlineStr">
        <is>
          <t>B</t>
        </is>
      </c>
      <c r="J88" s="11" t="inlineStr">
        <is>
          <t>The complement of A is the set of all elements in U that are not in A.</t>
        </is>
      </c>
    </row>
    <row r="89" ht="42" customHeight="1">
      <c r="A89" s="7" t="n">
        <v>88</v>
      </c>
      <c r="B89" s="8" t="inlineStr">
        <is>
          <t>Easy</t>
        </is>
      </c>
      <c r="C89" s="9" t="inlineStr">
        <is>
          <t>Complement of Sets</t>
        </is>
      </c>
      <c r="D89" s="9" t="inlineStr">
        <is>
          <t>If A ∪ B = U, what is the complement of A?</t>
        </is>
      </c>
      <c r="E89" s="9" t="inlineStr">
        <is>
          <t>∅</t>
        </is>
      </c>
      <c r="F89" s="9" t="inlineStr">
        <is>
          <t>{x} where x ∈ U</t>
        </is>
      </c>
      <c r="G89" s="9" t="inlineStr">
        <is>
          <t>{y} where y ∈ U and y ≠ x</t>
        </is>
      </c>
      <c r="H89" s="9" t="inlineStr">
        <is>
          <t>B</t>
        </is>
      </c>
      <c r="I89" s="10" t="inlineStr">
        <is>
          <t>C</t>
        </is>
      </c>
      <c r="J89" s="11" t="inlineStr">
        <is>
          <t>The complement of A is the set of all elements in U that are not in A.</t>
        </is>
      </c>
    </row>
    <row r="90" ht="42" customHeight="1">
      <c r="A90" s="2" t="n">
        <v>89</v>
      </c>
      <c r="B90" s="3" t="inlineStr">
        <is>
          <t>Hard</t>
        </is>
      </c>
      <c r="C90" s="4" t="inlineStr">
        <is>
          <t>Set Identities and Properties</t>
        </is>
      </c>
      <c r="D90" s="4" t="inlineStr">
        <is>
          <t>Let U be the universal set, A and B be subsets of U. If</t>
        </is>
      </c>
      <c r="E90" s="4" t="inlineStr">
        <is>
          <t>A ∩ B</t>
        </is>
      </c>
      <c r="F90" s="4">
        <f> 10,</f>
        <v/>
      </c>
      <c r="G90" s="4" t="inlineStr">
        <is>
          <t>A c</t>
        </is>
      </c>
      <c r="H90" s="4">
        <f> 20, and</f>
        <v/>
      </c>
      <c r="I90" s="5" t="inlineStr">
        <is>
          <t>B</t>
        </is>
      </c>
      <c r="J90" s="6">
        <f> 15, find</f>
        <v/>
      </c>
    </row>
    <row r="91" ht="42" customHeight="1">
      <c r="A91" s="2" t="n">
        <v>90</v>
      </c>
      <c r="B91" s="3" t="inlineStr">
        <is>
          <t>Hard</t>
        </is>
      </c>
      <c r="C91" s="4" t="inlineStr">
        <is>
          <t>Set Identities and Properties</t>
        </is>
      </c>
      <c r="D91" s="4" t="inlineStr">
        <is>
          <t>Let A and B be sets. If</t>
        </is>
      </c>
      <c r="E91" s="4" t="inlineStr">
        <is>
          <t>A ∪ B</t>
        </is>
      </c>
      <c r="F91" s="4">
        <f> 12 and</f>
        <v/>
      </c>
      <c r="G91" s="4" t="inlineStr">
        <is>
          <t>A ∩ B</t>
        </is>
      </c>
      <c r="H91" s="4">
        <f> 4, find</f>
        <v/>
      </c>
      <c r="I91" s="5" t="inlineStr">
        <is>
          <t>A</t>
        </is>
      </c>
      <c r="J91" s="6" t="inlineStr">
        <is>
          <t>+</t>
        </is>
      </c>
    </row>
    <row r="92" ht="42" customHeight="1">
      <c r="A92" s="12" t="n">
        <v>91</v>
      </c>
      <c r="B92" s="13" t="inlineStr">
        <is>
          <t>Medium</t>
        </is>
      </c>
      <c r="C92" s="14" t="inlineStr">
        <is>
          <t>Application-based Set Theory Problems</t>
        </is>
      </c>
      <c r="D92" s="14" t="inlineStr">
        <is>
          <t>R is the universal set, U. If A ∩ B = {2, 3}, A ∪ B = {1, 2, 3, 4, 5}, and A' ∩ B' = φ, find</t>
        </is>
      </c>
      <c r="E92" s="14" t="inlineStr">
        <is>
          <t>A ∩ R</t>
        </is>
      </c>
      <c r="F92" s="14" t="inlineStr">
        <is>
          <t>. A) 2</t>
        </is>
      </c>
      <c r="G92" s="14" t="inlineStr">
        <is>
          <t>B) 3</t>
        </is>
      </c>
      <c r="H92" s="14" t="inlineStr">
        <is>
          <t>C) 4</t>
        </is>
      </c>
      <c r="I92" s="15" t="inlineStr">
        <is>
          <t>D</t>
        </is>
      </c>
      <c r="J92" s="16" t="inlineStr">
        <is>
          <t>A</t>
        </is>
      </c>
    </row>
    <row r="93" ht="42" customHeight="1">
      <c r="A93" s="12" t="n">
        <v>92</v>
      </c>
      <c r="B93" s="13" t="inlineStr">
        <is>
          <t>Medium</t>
        </is>
      </c>
      <c r="C93" s="14" t="inlineStr">
        <is>
          <t>Application-based Set Theory Problems</t>
        </is>
      </c>
      <c r="D93" s="14" t="inlineStr">
        <is>
          <t>Let S be a set of integers such that S = {x</t>
        </is>
      </c>
      <c r="E93" s="14" t="inlineStr">
        <is>
          <t>x is an integer and 1 ≤ x ≤ 10}. Find the number of elements in the set S. A) 9</t>
        </is>
      </c>
      <c r="F93" s="14" t="inlineStr">
        <is>
          <t>B) 10</t>
        </is>
      </c>
      <c r="G93" s="14" t="inlineStr">
        <is>
          <t>C) 11</t>
        </is>
      </c>
      <c r="H93" s="14" t="inlineStr">
        <is>
          <t>D) 12</t>
        </is>
      </c>
      <c r="I93" s="15" t="inlineStr">
        <is>
          <t>A</t>
        </is>
      </c>
      <c r="J93" s="16" t="inlineStr">
        <is>
          <t>Count the number of integers from 1 to 10.</t>
        </is>
      </c>
    </row>
    <row r="94" ht="42" customHeight="1">
      <c r="A94" s="12" t="n">
        <v>93</v>
      </c>
      <c r="B94" s="13" t="inlineStr">
        <is>
          <t>Medium</t>
        </is>
      </c>
      <c r="C94" s="14" t="inlineStr">
        <is>
          <t>Application-based Set Theory Problems</t>
        </is>
      </c>
      <c r="D94" s="14" t="inlineStr">
        <is>
          <t>R is a set of real numbers. If A = {x</t>
        </is>
      </c>
      <c r="E94" s="14" t="inlineStr">
        <is>
          <t>x is an irrational number} and B = {x</t>
        </is>
      </c>
      <c r="F94" s="14" t="inlineStr">
        <is>
          <t>x is a rational number}, find</t>
        </is>
      </c>
      <c r="G94" s="14" t="inlineStr">
        <is>
          <t>A' ∩ R</t>
        </is>
      </c>
      <c r="H94" s="14" t="inlineStr">
        <is>
          <t>. A) 0</t>
        </is>
      </c>
      <c r="I94" s="15" t="inlineStr">
        <is>
          <t>B</t>
        </is>
      </c>
      <c r="J94" s="16" t="inlineStr">
        <is>
          <t>C) 2</t>
        </is>
      </c>
    </row>
    <row r="95" ht="42" customHeight="1">
      <c r="A95" s="2" t="n">
        <v>94</v>
      </c>
      <c r="B95" s="3" t="inlineStr">
        <is>
          <t>Hard</t>
        </is>
      </c>
      <c r="C95" s="4" t="inlineStr">
        <is>
          <t>Operations on Sets (union, intersection, difference)</t>
        </is>
      </c>
      <c r="D95" s="4" t="inlineStr">
        <is>
          <t>Let A = {x</t>
        </is>
      </c>
      <c r="E95" s="4" t="inlineStr">
        <is>
          <t>x^2 ≤ 9} and B = {x</t>
        </is>
      </c>
      <c r="F95" s="4" t="inlineStr">
        <is>
          <t>-3 ≤ x ≤ 3}. Prove that A ∩ B = B.</t>
        </is>
      </c>
      <c r="G95" s="4" t="inlineStr">
        <is>
          <t>A</t>
        </is>
      </c>
      <c r="H95" s="4" t="inlineStr">
        <is>
          <t>B</t>
        </is>
      </c>
      <c r="I95" s="5" t="inlineStr">
        <is>
          <t>C</t>
        </is>
      </c>
      <c r="J95" s="6" t="inlineStr">
        <is>
          <t>D</t>
        </is>
      </c>
    </row>
    <row r="96" ht="42" customHeight="1">
      <c r="A96" s="12" t="n">
        <v>95</v>
      </c>
      <c r="B96" s="13" t="inlineStr">
        <is>
          <t>Medium</t>
        </is>
      </c>
      <c r="C96" s="14" t="inlineStr">
        <is>
          <t>De Morgan’s Laws</t>
        </is>
      </c>
      <c r="D96" s="14" t="inlineStr">
        <is>
          <t>Let U be the universal set, A and B be sets. If A ∩ B = ∅ and A ∪ B = U, then which of the following is true?</t>
        </is>
      </c>
      <c r="E96" s="14" t="inlineStr">
        <is>
          <t>A ∩ B = ∅</t>
        </is>
      </c>
      <c r="F96" s="14" t="inlineStr">
        <is>
          <t>B ⊆ A</t>
        </is>
      </c>
      <c r="G96" s="14" t="inlineStr">
        <is>
          <t>A ⊆ B</t>
        </is>
      </c>
      <c r="H96" s="14" t="inlineStr">
        <is>
          <t>U ⊆ A ∪ B</t>
        </is>
      </c>
      <c r="I96" s="15" t="inlineStr">
        <is>
          <t>D</t>
        </is>
      </c>
      <c r="J96" s="16" t="inlineStr">
        <is>
          <t>The given conditions imply that A and B are disjoint sets.</t>
        </is>
      </c>
    </row>
    <row r="97" ht="42" customHeight="1">
      <c r="A97" s="12" t="n">
        <v>96</v>
      </c>
      <c r="B97" s="13" t="inlineStr">
        <is>
          <t>Medium</t>
        </is>
      </c>
      <c r="C97" s="14" t="inlineStr">
        <is>
          <t>De Morgan’s Laws</t>
        </is>
      </c>
      <c r="D97" s="14" t="inlineStr">
        <is>
          <t>(P ∩ Q)′ + (P′ ∩ Q)′ = ?</t>
        </is>
      </c>
      <c r="E97" s="14" t="inlineStr">
        <is>
          <t>(P ∩ Q)′</t>
        </is>
      </c>
      <c r="F97" s="14" t="inlineStr">
        <is>
          <t>(P′ ∩ Q)′</t>
        </is>
      </c>
      <c r="G97" s="14" t="inlineStr">
        <is>
          <t>P′ ∩ Q′</t>
        </is>
      </c>
      <c r="H97" s="14" t="inlineStr">
        <is>
          <t>P′ ∪ Q′</t>
        </is>
      </c>
      <c r="I97" s="15" t="inlineStr">
        <is>
          <t>B</t>
        </is>
      </c>
      <c r="J97" s="16" t="inlineStr">
        <is>
          <t>(De Morgan's Law: (A ∩ B)′ = A′ ∪ B′)</t>
        </is>
      </c>
    </row>
    <row r="98" ht="42" customHeight="1">
      <c r="A98" s="12" t="n">
        <v>97</v>
      </c>
      <c r="B98" s="13" t="inlineStr">
        <is>
          <t>Medium</t>
        </is>
      </c>
      <c r="C98" s="14" t="inlineStr">
        <is>
          <t>De Morgan’s Laws</t>
        </is>
      </c>
      <c r="D98" s="14" t="inlineStr">
        <is>
          <t>If A and B are sets such that A′ ∩ B′ = ∅, then which of the following is true?</t>
        </is>
      </c>
      <c r="E98" s="14" t="inlineStr">
        <is>
          <t>A ⊆ B</t>
        </is>
      </c>
      <c r="F98" s="14" t="inlineStr">
        <is>
          <t>B ⊆ A</t>
        </is>
      </c>
      <c r="G98" s="14" t="inlineStr">
        <is>
          <t>A ∩ B = ∅</t>
        </is>
      </c>
      <c r="H98" s="14" t="inlineStr">
        <is>
          <t>A ∪ B = U</t>
        </is>
      </c>
      <c r="I98" s="15" t="inlineStr">
        <is>
          <t>D</t>
        </is>
      </c>
      <c r="J98" s="16" t="inlineStr">
        <is>
          <t>(A ∩ B)′ = (A′ ∪ B′), so if A′ ∩ B′ = ∅, then A ∩ B = ∅.</t>
        </is>
      </c>
    </row>
    <row r="99" ht="42" customHeight="1">
      <c r="A99" s="12" t="n">
        <v>98</v>
      </c>
      <c r="B99" s="13" t="inlineStr">
        <is>
          <t>Medium</t>
        </is>
      </c>
      <c r="C99" s="14" t="inlineStr">
        <is>
          <t>De Morgan’s Laws</t>
        </is>
      </c>
      <c r="D99" s="14" t="inlineStr">
        <is>
          <t>Let P and Q be sets. Which of the following is equivalent to (P ∪ Q)′?</t>
        </is>
      </c>
      <c r="E99" s="14" t="inlineStr">
        <is>
          <t>(P ∩ Q)′</t>
        </is>
      </c>
      <c r="F99" s="14" t="inlineStr">
        <is>
          <t>(P′ ∩ Q)′</t>
        </is>
      </c>
      <c r="G99" s="14" t="inlineStr">
        <is>
          <t>P′ ∪ Q′</t>
        </is>
      </c>
      <c r="H99" s="14" t="inlineStr">
        <is>
          <t>P′ ∩ Q′</t>
        </is>
      </c>
      <c r="I99" s="15" t="inlineStr">
        <is>
          <t>A</t>
        </is>
      </c>
      <c r="J99" s="16" t="inlineStr">
        <is>
          <t>(De Morgan's Law: (A ∪ B)′ = A′ ∩ B′)</t>
        </is>
      </c>
    </row>
    <row r="100" ht="42" customHeight="1">
      <c r="A100" s="2" t="n">
        <v>99</v>
      </c>
      <c r="B100" s="3" t="inlineStr">
        <is>
          <t>Hard</t>
        </is>
      </c>
      <c r="C100" s="4" t="inlineStr">
        <is>
          <t>Complement of Sets</t>
        </is>
      </c>
      <c r="D100" s="4" t="inlineStr">
        <is>
          <t>Let U be the universal set, and A and B be two sets such that</t>
        </is>
      </c>
      <c r="E100" s="4" t="inlineStr">
        <is>
          <t>A ∪ B</t>
        </is>
      </c>
      <c r="F100" s="4">
        <f> 10. If</f>
        <v/>
      </c>
      <c r="G100" s="4" t="inlineStr">
        <is>
          <t>A</t>
        </is>
      </c>
      <c r="H100" s="4">
        <f> 5 and</f>
        <v/>
      </c>
      <c r="I100" s="5" t="inlineStr">
        <is>
          <t>B</t>
        </is>
      </c>
      <c r="J100" s="6">
        <f> 3, find</f>
        <v/>
      </c>
    </row>
    <row r="101" ht="42" customHeight="1">
      <c r="A101" s="2" t="n">
        <v>100</v>
      </c>
      <c r="B101" s="3" t="inlineStr">
        <is>
          <t>Hard</t>
        </is>
      </c>
      <c r="C101" s="4" t="inlineStr">
        <is>
          <t>Complement of Sets</t>
        </is>
      </c>
      <c r="D101" s="4" t="inlineStr">
        <is>
          <t>In a certain set theory problem, it's given that</t>
        </is>
      </c>
      <c r="E101" s="4" t="inlineStr">
        <is>
          <t>A ∩ B^c</t>
        </is>
      </c>
      <c r="F101" s="4">
        <f> 3 and</f>
        <v/>
      </c>
      <c r="G101" s="4" t="inlineStr">
        <is>
          <t>A^c ∪ B</t>
        </is>
      </c>
      <c r="H101" s="4">
        <f> 7. If</f>
        <v/>
      </c>
      <c r="I101" s="5" t="inlineStr">
        <is>
          <t>A</t>
        </is>
      </c>
      <c r="J101" s="6" t="inlineStr">
        <is>
          <t>+</t>
        </is>
      </c>
    </row>
    <row r="102" ht="42" customHeight="1">
      <c r="A102" s="2" t="n">
        <v>101</v>
      </c>
      <c r="B102" s="3" t="inlineStr">
        <is>
          <t>Hard</t>
        </is>
      </c>
      <c r="C102" s="4" t="inlineStr">
        <is>
          <t>Complement of Sets</t>
        </is>
      </c>
      <c r="D102" s="4" t="inlineStr">
        <is>
          <t>Let S be a set with</t>
        </is>
      </c>
      <c r="E102" s="4" t="inlineStr">
        <is>
          <t>S</t>
        </is>
      </c>
      <c r="F102" s="4">
        <f> 15. If A and B are two subsets such that</f>
        <v/>
      </c>
      <c r="G102" s="4" t="inlineStr">
        <is>
          <t>A ∩ B</t>
        </is>
      </c>
      <c r="H102" s="4">
        <f> 3,</f>
        <v/>
      </c>
      <c r="I102" s="5" t="inlineStr">
        <is>
          <t>A</t>
        </is>
      </c>
      <c r="J102" s="6">
        <f> 9, and</f>
        <v/>
      </c>
    </row>
    <row r="103" ht="42" customHeight="1">
      <c r="A103" s="2" t="n">
        <v>102</v>
      </c>
      <c r="B103" s="3" t="inlineStr">
        <is>
          <t>Hard</t>
        </is>
      </c>
      <c r="C103" s="4" t="inlineStr">
        <is>
          <t>Basic Set Concepts (elements, subsets, types of sets)</t>
        </is>
      </c>
      <c r="D103" s="4" t="inlineStr">
        <is>
          <t>Let U be the universal set containing all integers. Which of the following is NOT a subset of U?</t>
        </is>
      </c>
      <c r="E103" s="4" t="inlineStr">
        <is>
          <t>All even numbers</t>
        </is>
      </c>
      <c r="F103" s="4" t="inlineStr">
        <is>
          <t>All prime numbers</t>
        </is>
      </c>
      <c r="G103" s="4" t="inlineStr">
        <is>
          <t>All odd numbers</t>
        </is>
      </c>
      <c r="H103" s="4" t="inlineStr">
        <is>
          <t>The set of all integers</t>
        </is>
      </c>
      <c r="I103" s="5" t="inlineStr">
        <is>
          <t>D</t>
        </is>
      </c>
      <c r="J103" s="6" t="inlineStr">
        <is>
          <t>The set of all integers is not a subset of itself.</t>
        </is>
      </c>
    </row>
    <row r="104" ht="42" customHeight="1">
      <c r="A104" s="2" t="n">
        <v>103</v>
      </c>
      <c r="B104" s="3" t="inlineStr">
        <is>
          <t>Hard</t>
        </is>
      </c>
      <c r="C104" s="4" t="inlineStr">
        <is>
          <t>Basic Set Concepts (elements, subsets, types of sets)</t>
        </is>
      </c>
      <c r="D104" s="4" t="inlineStr">
        <is>
          <t>If A and B are two finite sets such that</t>
        </is>
      </c>
      <c r="E104" s="4" t="inlineStr">
        <is>
          <t>A</t>
        </is>
      </c>
      <c r="F104" s="4">
        <f> 5 and</f>
        <v/>
      </c>
      <c r="G104" s="4" t="inlineStr">
        <is>
          <t>B</t>
        </is>
      </c>
      <c r="H104" s="4">
        <f> 3, what is the maximum possible value of</f>
        <v/>
      </c>
      <c r="I104" s="5" t="inlineStr">
        <is>
          <t>A</t>
        </is>
      </c>
      <c r="J104" s="6" t="inlineStr">
        <is>
          <t>?</t>
        </is>
      </c>
    </row>
    <row r="105" ht="42" customHeight="1">
      <c r="A105" s="2" t="n">
        <v>104</v>
      </c>
      <c r="B105" s="3" t="inlineStr">
        <is>
          <t>Hard</t>
        </is>
      </c>
      <c r="C105" s="4" t="inlineStr">
        <is>
          <t>Basic Set Concepts (elements, subsets, types of sets)</t>
        </is>
      </c>
      <c r="D105" s="4" t="inlineStr">
        <is>
          <t>Let A be a set containing all numbers greater than 2. Which of the following is NOT an element of A?</t>
        </is>
      </c>
      <c r="E105" s="4" t="inlineStr">
        <is>
          <t>1</t>
        </is>
      </c>
      <c r="F105" s="4" t="inlineStr">
        <is>
          <t>0</t>
        </is>
      </c>
      <c r="G105" s="4" t="inlineStr">
        <is>
          <t>-3</t>
        </is>
      </c>
      <c r="H105" s="4" t="inlineStr">
        <is>
          <t>3</t>
        </is>
      </c>
      <c r="I105" s="5" t="inlineStr">
        <is>
          <t>A</t>
        </is>
      </c>
      <c r="J105" s="6" t="inlineStr">
        <is>
          <t>Since A contains only numbers greater than 2, 1 is not in A.</t>
        </is>
      </c>
    </row>
    <row r="106" ht="42" customHeight="1">
      <c r="A106" s="2" t="n">
        <v>105</v>
      </c>
      <c r="B106" s="3" t="inlineStr">
        <is>
          <t>Hard</t>
        </is>
      </c>
      <c r="C106" s="4" t="inlineStr">
        <is>
          <t>Word Problems using Sets</t>
        </is>
      </c>
      <c r="D106" s="4" t="inlineStr">
        <is>
          <t>A company has two types of employees: full-time and part-time. The number of full-time employees is 3/5 of the total, while the number of part-time employees is 2/3 of the remaining employees. If there are 60 employees in total, how many are part-time?</t>
        </is>
      </c>
      <c r="E106" s="4" t="inlineStr">
        <is>
          <t>20</t>
        </is>
      </c>
      <c r="F106" s="4" t="inlineStr">
        <is>
          <t>30</t>
        </is>
      </c>
      <c r="G106" s="4" t="inlineStr">
        <is>
          <t>40</t>
        </is>
      </c>
      <c r="H106" s="4" t="inlineStr">
        <is>
          <t>50</t>
        </is>
      </c>
      <c r="I106" s="5" t="inlineStr">
        <is>
          <t>D</t>
        </is>
      </c>
      <c r="J106" s="6" t="inlineStr">
        <is>
          <t>Use Venn diagram to find the number of part-time employees.</t>
        </is>
      </c>
    </row>
    <row r="107" ht="42" customHeight="1">
      <c r="A107" s="2" t="n">
        <v>106</v>
      </c>
      <c r="B107" s="3" t="inlineStr">
        <is>
          <t>Hard</t>
        </is>
      </c>
      <c r="C107" s="4" t="inlineStr">
        <is>
          <t>Word Problems using Sets</t>
        </is>
      </c>
      <c r="D107" s="4" t="inlineStr">
        <is>
          <t>A set S contains all integers from 1 to 100 that are multiples of either 3 or 4. Find the cardinality of S without listing all elements.</t>
        </is>
      </c>
      <c r="E107" s="4" t="inlineStr">
        <is>
          <t>25</t>
        </is>
      </c>
      <c r="F107" s="4" t="inlineStr">
        <is>
          <t>30</t>
        </is>
      </c>
      <c r="G107" s="4" t="inlineStr">
        <is>
          <t>40</t>
        </is>
      </c>
      <c r="H107" s="4" t="inlineStr">
        <is>
          <t>50</t>
        </is>
      </c>
      <c r="I107" s="5" t="inlineStr">
        <is>
          <t>C</t>
        </is>
      </c>
      <c r="J107" s="6" t="inlineStr">
        <is>
          <t>Use properties of sets and divisibility rules.</t>
        </is>
      </c>
    </row>
    <row r="108" ht="42" customHeight="1">
      <c r="A108" s="2" t="n">
        <v>107</v>
      </c>
      <c r="B108" s="3" t="inlineStr">
        <is>
          <t>Hard</t>
        </is>
      </c>
      <c r="C108" s="4" t="inlineStr">
        <is>
          <t>Word Problems using Sets</t>
        </is>
      </c>
      <c r="D108" s="4" t="inlineStr">
        <is>
          <t>Two sets A and B have a union of 15 elements, with A having 5 more elements than B. If the intersection of A and B has 3 elements, find the number of elements in set B.</t>
        </is>
      </c>
      <c r="E108" s="4" t="inlineStr">
        <is>
          <t>7</t>
        </is>
      </c>
      <c r="F108" s="4" t="inlineStr">
        <is>
          <t>8</t>
        </is>
      </c>
      <c r="G108" s="4" t="inlineStr">
        <is>
          <t>9</t>
        </is>
      </c>
      <c r="H108" s="4" t="inlineStr">
        <is>
          <t>10</t>
        </is>
      </c>
      <c r="I108" s="5" t="inlineStr">
        <is>
          <t>B</t>
        </is>
      </c>
      <c r="J108" s="6" t="inlineStr">
        <is>
          <t>Use Venn diagram to find the number of elements in set B.</t>
        </is>
      </c>
    </row>
    <row r="109" ht="42" customHeight="1">
      <c r="A109" s="2" t="n">
        <v>108</v>
      </c>
      <c r="B109" s="3" t="inlineStr">
        <is>
          <t>Hard</t>
        </is>
      </c>
      <c r="C109" s="4" t="inlineStr">
        <is>
          <t>Word Problems using Sets</t>
        </is>
      </c>
      <c r="D109" s="4" t="inlineStr">
        <is>
          <t>A library has three types of books: fiction, non-fiction, and biographies. The ratio of fiction to non-fiction is 2:3, while the ratio of biographies to the total number of books is 1/4. If there are 240 books in total, how many are biographies?</t>
        </is>
      </c>
      <c r="E109" s="4" t="inlineStr">
        <is>
          <t>60</t>
        </is>
      </c>
      <c r="F109" s="4" t="inlineStr">
        <is>
          <t>80</t>
        </is>
      </c>
      <c r="G109" s="4" t="inlineStr">
        <is>
          <t>100</t>
        </is>
      </c>
      <c r="H109" s="4" t="inlineStr">
        <is>
          <t>120</t>
        </is>
      </c>
      <c r="I109" s="5" t="inlineStr">
        <is>
          <t>D</t>
        </is>
      </c>
      <c r="J109" s="6" t="inlineStr">
        <is>
          <t>Use ratios and proportions to find the number of biographies.</t>
        </is>
      </c>
    </row>
    <row r="110" ht="42" customHeight="1">
      <c r="A110" s="7" t="n">
        <v>109</v>
      </c>
      <c r="B110" s="8" t="inlineStr">
        <is>
          <t>Easy</t>
        </is>
      </c>
      <c r="C110" s="9" t="inlineStr">
        <is>
          <t>Word Problems using Sets</t>
        </is>
      </c>
      <c r="D110" s="9" t="inlineStr">
        <is>
          <t>A bookshelf has 3 shelves, and each shelf can hold at most 5 books. If the bookshelf is currently empty, how many ways are there to put 10 books on it?</t>
        </is>
      </c>
      <c r="E110" s="9" t="inlineStr">
        <is>
          <t>1 way</t>
        </is>
      </c>
      <c r="F110" s="9" t="inlineStr">
        <is>
          <t>2 ways</t>
        </is>
      </c>
      <c r="G110" s="9" t="inlineStr">
        <is>
          <t>3 ways</t>
        </is>
      </c>
      <c r="H110" s="9" t="inlineStr">
        <is>
          <t>4 ways</t>
        </is>
      </c>
      <c r="I110" s="10" t="inlineStr">
        <is>
          <t>C</t>
        </is>
      </c>
      <c r="J110" s="11" t="inlineStr">
        <is>
          <t>Use the formula for combinations: C(10+3-1, 10) = 6.</t>
        </is>
      </c>
    </row>
    <row r="111" ht="42" customHeight="1">
      <c r="A111" s="7" t="n">
        <v>110</v>
      </c>
      <c r="B111" s="8" t="inlineStr">
        <is>
          <t>Easy</t>
        </is>
      </c>
      <c r="C111" s="9" t="inlineStr">
        <is>
          <t>Word Problems using Sets</t>
        </is>
      </c>
      <c r="D111" s="9" t="inlineStr">
        <is>
          <t>A set of 5 friends like different types of music. If 3 friends like rock and 2 friends like pop, how many ways are there to choose a friend who likes either rock or pop?</t>
        </is>
      </c>
      <c r="E111" s="9" t="inlineStr">
        <is>
          <t>4 ways</t>
        </is>
      </c>
      <c r="F111" s="9" t="inlineStr">
        <is>
          <t>5 ways</t>
        </is>
      </c>
      <c r="G111" s="9" t="inlineStr">
        <is>
          <t>6 ways</t>
        </is>
      </c>
      <c r="H111" s="9" t="inlineStr">
        <is>
          <t>7 ways</t>
        </is>
      </c>
      <c r="I111" s="10" t="inlineStr">
        <is>
          <t>B</t>
        </is>
      </c>
      <c r="J111" s="11" t="inlineStr">
        <is>
          <t>Use the formula for unions:</t>
        </is>
      </c>
    </row>
    <row r="112" ht="42" customHeight="1">
      <c r="A112" s="7" t="n">
        <v>111</v>
      </c>
      <c r="B112" s="8" t="inlineStr">
        <is>
          <t>Easy</t>
        </is>
      </c>
      <c r="C112" s="9" t="inlineStr">
        <is>
          <t>Word Problems using Sets</t>
        </is>
      </c>
      <c r="D112" s="9" t="inlineStr">
        <is>
          <t>A set of 8 students has 3 clubs: math, science, and art. If 2 students are in both math and science, 1 student is only in math, and 4 students are not in any club, how many ways are there to choose a student who is in at least one club?</t>
        </is>
      </c>
      <c r="E112" s="9" t="inlineStr">
        <is>
          <t>5 ways</t>
        </is>
      </c>
      <c r="F112" s="9" t="inlineStr">
        <is>
          <t>6 ways</t>
        </is>
      </c>
      <c r="G112" s="9" t="inlineStr">
        <is>
          <t>7 ways</t>
        </is>
      </c>
      <c r="H112" s="9" t="inlineStr">
        <is>
          <t>8 ways</t>
        </is>
      </c>
      <c r="I112" s="10" t="inlineStr">
        <is>
          <t>D</t>
        </is>
      </c>
      <c r="J112" s="11" t="inlineStr">
        <is>
          <t>Use the formula for complements:</t>
        </is>
      </c>
    </row>
    <row r="113" ht="42" customHeight="1">
      <c r="A113" s="7" t="n">
        <v>112</v>
      </c>
      <c r="B113" s="8" t="inlineStr">
        <is>
          <t>Easy</t>
        </is>
      </c>
      <c r="C113" s="9" t="inlineStr">
        <is>
          <t>Word Problems using Sets</t>
        </is>
      </c>
      <c r="D113" s="9" t="inlineStr">
        <is>
          <t>A set of 12 students has a favorite color. If 4 students like blue, 3 students like red, and 2 students like both blue and red, how many ways are there to choose a student who likes either blue or red?</t>
        </is>
      </c>
      <c r="E113" s="9" t="inlineStr">
        <is>
          <t>8 ways</t>
        </is>
      </c>
      <c r="F113" s="9" t="inlineStr">
        <is>
          <t>9 ways</t>
        </is>
      </c>
      <c r="G113" s="9" t="inlineStr">
        <is>
          <t>10 ways</t>
        </is>
      </c>
      <c r="H113" s="9" t="inlineStr">
        <is>
          <t>11 ways</t>
        </is>
      </c>
      <c r="I113" s="10" t="inlineStr">
        <is>
          <t>C</t>
        </is>
      </c>
      <c r="J113" s="11" t="inlineStr">
        <is>
          <t>Use the formula for unions:</t>
        </is>
      </c>
    </row>
    <row r="114" ht="42" customHeight="1">
      <c r="A114" s="2" t="n">
        <v>113</v>
      </c>
      <c r="B114" s="3" t="inlineStr">
        <is>
          <t>Hard</t>
        </is>
      </c>
      <c r="C114" s="4" t="inlineStr">
        <is>
          <t>Cardinality of Sets</t>
        </is>
      </c>
      <c r="D114" s="4" t="inlineStr">
        <is>
          <t>Let A and B be infinite sets. If</t>
        </is>
      </c>
      <c r="E114" s="4" t="inlineStr">
        <is>
          <t>A ∪ B</t>
        </is>
      </c>
      <c r="F114" s="4" t="inlineStr">
        <is>
          <t>=</t>
        </is>
      </c>
      <c r="G114" s="4" t="inlineStr">
        <is>
          <t>A</t>
        </is>
      </c>
      <c r="H114" s="4" t="inlineStr">
        <is>
          <t>+</t>
        </is>
      </c>
      <c r="I114" s="5" t="inlineStr">
        <is>
          <t>B</t>
        </is>
      </c>
      <c r="J114" s="6" t="inlineStr">
        <is>
          <t>, prove that</t>
        </is>
      </c>
    </row>
    <row r="115" ht="42" customHeight="1">
      <c r="A115" s="2" t="n">
        <v>114</v>
      </c>
      <c r="B115" s="3" t="inlineStr">
        <is>
          <t>Hard</t>
        </is>
      </c>
      <c r="C115" s="4" t="inlineStr">
        <is>
          <t>Cardinality of Sets</t>
        </is>
      </c>
      <c r="D115" s="4" t="inlineStr">
        <is>
          <t>Let A be a set with cardinality</t>
        </is>
      </c>
      <c r="E115" s="4" t="inlineStr">
        <is>
          <t>A</t>
        </is>
      </c>
      <c r="F115" s="4">
        <f> ℵ0. Prove that there exists a set B such that</f>
        <v/>
      </c>
      <c r="G115" s="4" t="inlineStr">
        <is>
          <t>A × B</t>
        </is>
      </c>
      <c r="H115" s="4" t="inlineStr">
        <is>
          <t>=</t>
        </is>
      </c>
      <c r="I115" s="5" t="inlineStr">
        <is>
          <t>A</t>
        </is>
      </c>
      <c r="J115" s="6" t="inlineStr">
        <is>
          <t>×</t>
        </is>
      </c>
    </row>
    <row r="116" ht="42" customHeight="1">
      <c r="A116" s="2" t="n">
        <v>115</v>
      </c>
      <c r="B116" s="3" t="inlineStr">
        <is>
          <t>Hard</t>
        </is>
      </c>
      <c r="C116" s="4" t="inlineStr">
        <is>
          <t>Cardinality of Sets</t>
        </is>
      </c>
      <c r="D116" s="4" t="inlineStr">
        <is>
          <t>Let A and B be sets such that</t>
        </is>
      </c>
      <c r="E116" s="4" t="inlineStr">
        <is>
          <t>A ∩ B</t>
        </is>
      </c>
      <c r="F116" s="4" t="inlineStr">
        <is>
          <t>=</t>
        </is>
      </c>
      <c r="G116" s="4" t="inlineStr">
        <is>
          <t>A</t>
        </is>
      </c>
      <c r="H116" s="4" t="inlineStr">
        <is>
          <t>=</t>
        </is>
      </c>
      <c r="I116" s="5" t="inlineStr">
        <is>
          <t>B</t>
        </is>
      </c>
      <c r="J116" s="6" t="inlineStr">
        <is>
          <t>. Prove that</t>
        </is>
      </c>
    </row>
    <row r="117" ht="42" customHeight="1">
      <c r="A117" s="7" t="n">
        <v>116</v>
      </c>
      <c r="B117" s="8" t="inlineStr">
        <is>
          <t>Easy</t>
        </is>
      </c>
      <c r="C117" s="9" t="inlineStr">
        <is>
          <t>Venn Diagram Problems (3 sets)</t>
        </is>
      </c>
      <c r="D117" s="9" t="inlineStr">
        <is>
          <t>Three sets A, B, and C are given. If A ∩ B = 5, A ∩ C = 2, and B ∩ C = 3, find the number of elements in A U B U C.</t>
        </is>
      </c>
      <c r="E117" s="9" t="inlineStr">
        <is>
          <t>10</t>
        </is>
      </c>
      <c r="F117" s="9" t="inlineStr">
        <is>
          <t>11</t>
        </is>
      </c>
      <c r="G117" s="9" t="inlineStr">
        <is>
          <t>12</t>
        </is>
      </c>
      <c r="H117" s="9" t="inlineStr">
        <is>
          <t>13</t>
        </is>
      </c>
      <c r="I117" s="10" t="inlineStr">
        <is>
          <t>D</t>
        </is>
      </c>
      <c r="J117" s="11" t="inlineStr">
        <is>
          <t>Use Venn diagram to find A U B U C = (A ∩ B) + (A ∩ C) + (B ∩ C) + (A ∪ B ∪ C)</t>
        </is>
      </c>
    </row>
    <row r="118" ht="42" customHeight="1">
      <c r="A118" s="7" t="n">
        <v>117</v>
      </c>
      <c r="B118" s="8" t="inlineStr">
        <is>
          <t>Easy</t>
        </is>
      </c>
      <c r="C118" s="9" t="inlineStr">
        <is>
          <t>Set Identities and Properties</t>
        </is>
      </c>
      <c r="D118" s="9" t="inlineStr">
        <is>
          <t>If A ∩ B is empty, which of the following must be true?</t>
        </is>
      </c>
      <c r="E118" s="9" t="inlineStr">
        <is>
          <t>A is subset of B</t>
        </is>
      </c>
      <c r="F118" s="9" t="inlineStr">
        <is>
          <t>B is subset of A</t>
        </is>
      </c>
      <c r="G118" s="9" t="inlineStr">
        <is>
          <t>A and B are disjoint sets</t>
        </is>
      </c>
      <c r="H118" s="9" t="inlineStr">
        <is>
          <t>A is equal to B</t>
        </is>
      </c>
      <c r="I118" s="10" t="inlineStr">
        <is>
          <t>D</t>
        </is>
      </c>
      <c r="J118" s="11" t="inlineStr">
        <is>
          <t>Since A ∩ B is empty, A and B are disjoint sets.</t>
        </is>
      </c>
    </row>
    <row r="119" ht="42" customHeight="1">
      <c r="A119" s="7" t="n">
        <v>118</v>
      </c>
      <c r="B119" s="8" t="inlineStr">
        <is>
          <t>Easy</t>
        </is>
      </c>
      <c r="C119" s="9" t="inlineStr">
        <is>
          <t>Set Identities and Properties</t>
        </is>
      </c>
      <c r="D119" s="9" t="inlineStr">
        <is>
          <t>If U = A ∪ B, what is the relationship between A and B?</t>
        </is>
      </c>
      <c r="E119" s="9" t="inlineStr">
        <is>
          <t>A ⊆ B</t>
        </is>
      </c>
      <c r="F119" s="9" t="inlineStr">
        <is>
          <t>B ⊆ A</t>
        </is>
      </c>
      <c r="G119" s="9" t="inlineStr">
        <is>
          <t>A and B are equal</t>
        </is>
      </c>
      <c r="H119" s="9" t="inlineStr">
        <is>
          <t>A and B are disjoint</t>
        </is>
      </c>
      <c r="I119" s="10" t="inlineStr">
        <is>
          <t>D</t>
        </is>
      </c>
      <c r="J119" s="11" t="inlineStr">
        <is>
          <t>Since U = A ∪ B, A and B must be disjoint sets.</t>
        </is>
      </c>
    </row>
    <row r="120" ht="42" customHeight="1">
      <c r="A120" s="7" t="n">
        <v>119</v>
      </c>
      <c r="B120" s="8" t="inlineStr">
        <is>
          <t>Easy</t>
        </is>
      </c>
      <c r="C120" s="9" t="inlineStr">
        <is>
          <t>Set Identities and Properties</t>
        </is>
      </c>
      <c r="D120" s="9" t="inlineStr">
        <is>
          <t>If A ⊆ B and B ⊆ C, what is the relationship between A and C?</t>
        </is>
      </c>
      <c r="E120" s="9" t="inlineStr">
        <is>
          <t>A ⊆ C</t>
        </is>
      </c>
      <c r="F120" s="9" t="inlineStr">
        <is>
          <t>C ⊆ A</t>
        </is>
      </c>
      <c r="G120" s="9" t="inlineStr">
        <is>
          <t>A and C are equal</t>
        </is>
      </c>
      <c r="H120" s="9" t="inlineStr">
        <is>
          <t>A and C are disjoint</t>
        </is>
      </c>
      <c r="I120" s="10" t="inlineStr">
        <is>
          <t>B</t>
        </is>
      </c>
      <c r="J120" s="11" t="inlineStr">
        <is>
          <t>Since A ⊆ B and B ⊆ C, A ⊆ C.</t>
        </is>
      </c>
    </row>
    <row r="121" ht="42" customHeight="1">
      <c r="A121" s="7" t="n">
        <v>120</v>
      </c>
      <c r="B121" s="8" t="inlineStr">
        <is>
          <t>Easy</t>
        </is>
      </c>
      <c r="C121" s="9" t="inlineStr">
        <is>
          <t>Set Identities and Properties</t>
        </is>
      </c>
      <c r="D121" s="9" t="inlineStr">
        <is>
          <t>If A ∩ B = ∅ and A ∪ B = U, what is the relationship between A and B?</t>
        </is>
      </c>
      <c r="E121" s="9" t="inlineStr">
        <is>
          <t>A and B are equal</t>
        </is>
      </c>
      <c r="F121" s="9" t="inlineStr">
        <is>
          <t>A and B are disjoint</t>
        </is>
      </c>
      <c r="G121" s="9" t="inlineStr">
        <is>
          <t>B is subset of A</t>
        </is>
      </c>
      <c r="H121" s="9" t="inlineStr">
        <is>
          <t>A is subset of B</t>
        </is>
      </c>
      <c r="I121" s="10" t="inlineStr">
        <is>
          <t>D</t>
        </is>
      </c>
      <c r="J121" s="11" t="inlineStr">
        <is>
          <t>Since A ∩ B = ∅ and A ∪ B = U, A and B must be disjoint sets.</t>
        </is>
      </c>
    </row>
    <row r="122" ht="42" customHeight="1">
      <c r="A122" s="7" t="n">
        <v>121</v>
      </c>
      <c r="B122" s="8" t="inlineStr">
        <is>
          <t>Easy</t>
        </is>
      </c>
      <c r="C122" s="9" t="inlineStr">
        <is>
          <t>Venn Diagram Problems (2 sets)</t>
        </is>
      </c>
      <c r="D122" s="9" t="inlineStr">
        <is>
          <t>Let U be the universal set, A and B be two sets. If</t>
        </is>
      </c>
      <c r="E122" s="9" t="inlineStr">
        <is>
          <t>A ∩ B</t>
        </is>
      </c>
      <c r="F122" s="9">
        <f> 3,</f>
        <v/>
      </c>
      <c r="G122" s="9" t="inlineStr">
        <is>
          <t>A c</t>
        </is>
      </c>
      <c r="H122" s="9">
        <f> 5, and</f>
        <v/>
      </c>
      <c r="I122" s="10" t="inlineStr">
        <is>
          <t>B</t>
        </is>
      </c>
      <c r="J122" s="11">
        <f> 7, find</f>
        <v/>
      </c>
    </row>
    <row r="123" ht="42" customHeight="1">
      <c r="A123" s="7" t="n">
        <v>122</v>
      </c>
      <c r="B123" s="8" t="inlineStr">
        <is>
          <t>Easy</t>
        </is>
      </c>
      <c r="C123" s="9" t="inlineStr">
        <is>
          <t>Venn Diagram Problems (2 sets)</t>
        </is>
      </c>
      <c r="D123" s="9" t="inlineStr">
        <is>
          <t>In a Venn diagram with two overlapping sets, A and B, if</t>
        </is>
      </c>
      <c r="E123" s="9" t="inlineStr">
        <is>
          <t>A ∩ B</t>
        </is>
      </c>
      <c r="F123" s="9">
        <f> 4 and</f>
        <v/>
      </c>
      <c r="G123" s="9" t="inlineStr">
        <is>
          <t>A c</t>
        </is>
      </c>
      <c r="H123" s="9">
        <f> 6, find</f>
        <v/>
      </c>
      <c r="I123" s="10" t="inlineStr">
        <is>
          <t>B</t>
        </is>
      </c>
      <c r="J123" s="11" t="inlineStr">
        <is>
          <t>. A) 8 B) 10 C) 12 D) 14</t>
        </is>
      </c>
    </row>
    <row r="124" ht="42" customHeight="1">
      <c r="A124" s="12" t="n">
        <v>123</v>
      </c>
      <c r="B124" s="13" t="inlineStr">
        <is>
          <t>Medium</t>
        </is>
      </c>
      <c r="C124" s="14" t="inlineStr">
        <is>
          <t>Cardinality of Sets</t>
        </is>
      </c>
      <c r="D124" s="14" t="inlineStr">
        <is>
          <t>Let A and B be finite sets. If</t>
        </is>
      </c>
      <c r="E124" s="14" t="inlineStr">
        <is>
          <t>A ∪ B</t>
        </is>
      </c>
      <c r="F124" s="14" t="inlineStr">
        <is>
          <t>=</t>
        </is>
      </c>
      <c r="G124" s="14" t="inlineStr">
        <is>
          <t>A</t>
        </is>
      </c>
      <c r="H124" s="14" t="inlineStr">
        <is>
          <t>+</t>
        </is>
      </c>
      <c r="I124" s="15" t="inlineStr">
        <is>
          <t>B</t>
        </is>
      </c>
      <c r="J124" s="16" t="inlineStr">
        <is>
          <t>-</t>
        </is>
      </c>
    </row>
    <row r="125" ht="42" customHeight="1">
      <c r="A125" s="12" t="n">
        <v>124</v>
      </c>
      <c r="B125" s="13" t="inlineStr">
        <is>
          <t>Medium</t>
        </is>
      </c>
      <c r="C125" s="14" t="inlineStr">
        <is>
          <t>Venn Diagram Problems (3 sets)</t>
        </is>
      </c>
      <c r="D125" s="14" t="inlineStr">
        <is>
          <t>Three sets A, B, and C are represented by the following Venn diagram. If</t>
        </is>
      </c>
      <c r="E125" s="14" t="inlineStr">
        <is>
          <t>A</t>
        </is>
      </c>
      <c r="F125" s="14">
        <f> 12,</f>
        <v/>
      </c>
      <c r="G125" s="14" t="inlineStr">
        <is>
          <t>B</t>
        </is>
      </c>
      <c r="H125" s="14">
        <f> 8, and</f>
        <v/>
      </c>
      <c r="I125" s="15" t="inlineStr">
        <is>
          <t>C</t>
        </is>
      </c>
      <c r="J125" s="16">
        <f> 4, find</f>
        <v/>
      </c>
    </row>
    <row r="126" ht="42" customHeight="1">
      <c r="A126" s="12" t="n">
        <v>125</v>
      </c>
      <c r="B126" s="13" t="inlineStr">
        <is>
          <t>Medium</t>
        </is>
      </c>
      <c r="C126" s="14" t="inlineStr">
        <is>
          <t>Operations on Sets (union, intersection, difference)</t>
        </is>
      </c>
      <c r="D126" s="14" t="inlineStr">
        <is>
          <t>Let A = {1, 2, 3} and B = {2, 3, 4}. Find A ∩ B</t>
        </is>
      </c>
      <c r="E126" s="14" t="inlineStr">
        <is>
          <t>{1}</t>
        </is>
      </c>
      <c r="F126" s="14" t="inlineStr">
        <is>
          <t>{2, 3}</t>
        </is>
      </c>
      <c r="G126" s="14" t="inlineStr">
        <is>
          <t>{2, 3, 4}</t>
        </is>
      </c>
      <c r="H126" s="14" t="inlineStr">
        <is>
          <t>{1, 2, 3, 4}</t>
        </is>
      </c>
      <c r="I126" s="15" t="inlineStr">
        <is>
          <t>B</t>
        </is>
      </c>
      <c r="J126" s="16" t="inlineStr">
        <is>
          <t>The intersection of two sets is the set of elements common to both.</t>
        </is>
      </c>
    </row>
    <row r="127" ht="42" customHeight="1">
      <c r="A127" s="12" t="n">
        <v>126</v>
      </c>
      <c r="B127" s="13" t="inlineStr">
        <is>
          <t>Medium</t>
        </is>
      </c>
      <c r="C127" s="14" t="inlineStr">
        <is>
          <t>Operations on Sets (union, intersection, difference)</t>
        </is>
      </c>
      <c r="D127" s="14" t="inlineStr">
        <is>
          <t>If U = {a, b, c, d}, A = {a, b} and B = {b, c}. Find A ∪ B</t>
        </is>
      </c>
      <c r="E127" s="14" t="inlineStr">
        <is>
          <t>{a, b, c}</t>
        </is>
      </c>
      <c r="F127" s="14" t="inlineStr">
        <is>
          <t>{a, b, d}</t>
        </is>
      </c>
      <c r="G127" s="14" t="inlineStr">
        <is>
          <t>{a, c, d}</t>
        </is>
      </c>
      <c r="H127" s="14" t="inlineStr">
        <is>
          <t>{a, b, c, d}</t>
        </is>
      </c>
      <c r="I127" s="15" t="inlineStr">
        <is>
          <t>A</t>
        </is>
      </c>
      <c r="J127" s="16" t="inlineStr">
        <is>
          <t>The union of two sets is the set of elements in either or both.</t>
        </is>
      </c>
    </row>
    <row r="128" ht="42" customHeight="1">
      <c r="A128" s="12" t="n">
        <v>127</v>
      </c>
      <c r="B128" s="13" t="inlineStr">
        <is>
          <t>Medium</t>
        </is>
      </c>
      <c r="C128" s="14" t="inlineStr">
        <is>
          <t>Operations on Sets (union, intersection, difference)</t>
        </is>
      </c>
      <c r="D128" s="14" t="inlineStr">
        <is>
          <t>If A = {1, 2} and B = {2, 3}, find A - B</t>
        </is>
      </c>
      <c r="E128" s="14" t="inlineStr">
        <is>
          <t>{1}</t>
        </is>
      </c>
      <c r="F128" s="14" t="inlineStr">
        <is>
          <t>{1, 3}</t>
        </is>
      </c>
      <c r="G128" s="14" t="inlineStr">
        <is>
          <t>{1, 2}</t>
        </is>
      </c>
      <c r="H128" s="14" t="inlineStr">
        <is>
          <t>{}</t>
        </is>
      </c>
      <c r="I128" s="15" t="inlineStr">
        <is>
          <t>A</t>
        </is>
      </c>
      <c r="J128" s="16" t="inlineStr">
        <is>
          <t>The difference of two sets is the set of elements in the first but not the second.</t>
        </is>
      </c>
    </row>
    <row r="129" ht="42" customHeight="1">
      <c r="A129" s="12" t="n">
        <v>128</v>
      </c>
      <c r="B129" s="13" t="inlineStr">
        <is>
          <t>Medium</t>
        </is>
      </c>
      <c r="C129" s="14" t="inlineStr">
        <is>
          <t>Complement of Sets</t>
        </is>
      </c>
      <c r="D129" s="14" t="inlineStr">
        <is>
          <t>If A and B are subsets of a universal set U such that</t>
        </is>
      </c>
      <c r="E129" s="14" t="inlineStr">
        <is>
          <t>A</t>
        </is>
      </c>
      <c r="F129" s="14">
        <f> 15,</f>
        <v/>
      </c>
      <c r="G129" s="14" t="inlineStr">
        <is>
          <t>B</t>
        </is>
      </c>
      <c r="H129" s="14">
        <f> 20, and</f>
        <v/>
      </c>
      <c r="I129" s="15" t="inlineStr">
        <is>
          <t>A</t>
        </is>
      </c>
      <c r="J129" s="16">
        <f> 5, find</f>
        <v/>
      </c>
    </row>
    <row r="130" ht="42" customHeight="1">
      <c r="A130" s="12" t="n">
        <v>129</v>
      </c>
      <c r="B130" s="13" t="inlineStr">
        <is>
          <t>Medium</t>
        </is>
      </c>
      <c r="C130" s="14" t="inlineStr">
        <is>
          <t>Complement of Sets</t>
        </is>
      </c>
      <c r="D130" s="14" t="inlineStr">
        <is>
          <t>Let A and B be subsets of a universal set U. If</t>
        </is>
      </c>
      <c r="E130" s="14" t="inlineStr">
        <is>
          <t>A^c ∩ B^c</t>
        </is>
      </c>
      <c r="F130" s="14">
        <f> 3,</f>
        <v/>
      </c>
      <c r="G130" s="14" t="inlineStr">
        <is>
          <t>A^c</t>
        </is>
      </c>
      <c r="H130" s="14">
        <f> 7, and</f>
        <v/>
      </c>
      <c r="I130" s="15" t="inlineStr">
        <is>
          <t>B</t>
        </is>
      </c>
      <c r="J130" s="16">
        <f> 9, find</f>
        <v/>
      </c>
    </row>
    <row r="131" ht="42" customHeight="1">
      <c r="A131" s="2" t="n">
        <v>130</v>
      </c>
      <c r="B131" s="3" t="inlineStr">
        <is>
          <t>Hard</t>
        </is>
      </c>
      <c r="C131" s="4" t="inlineStr">
        <is>
          <t>Venn Diagram Problems (2 sets)</t>
        </is>
      </c>
      <c r="D131" s="4" t="inlineStr">
        <is>
          <t>Let A and B be two sets such that</t>
        </is>
      </c>
      <c r="E131" s="4" t="inlineStr">
        <is>
          <t>A</t>
        </is>
      </c>
      <c r="F131" s="4">
        <f>12,</f>
        <v/>
      </c>
      <c r="G131" s="4" t="inlineStr">
        <is>
          <t>B</t>
        </is>
      </c>
      <c r="H131" s="4">
        <f>8, and</f>
        <v/>
      </c>
      <c r="I131" s="5" t="inlineStr">
        <is>
          <t>A</t>
        </is>
      </c>
      <c r="J131" s="6">
        <f>4. Find the number of elements in the set (A ∪ B)' 16</f>
        <v/>
      </c>
    </row>
    <row r="132" ht="42" customHeight="1">
      <c r="A132" s="12" t="n">
        <v>131</v>
      </c>
      <c r="B132" s="13" t="inlineStr">
        <is>
          <t>Medium</t>
        </is>
      </c>
      <c r="C132" s="14" t="inlineStr">
        <is>
          <t>Basic Set Concepts (elements, subsets, types of sets)</t>
        </is>
      </c>
      <c r="D132" s="14" t="inlineStr">
        <is>
          <t>Let U be the universal set containing all integers. Which of the following is a subset of U?</t>
        </is>
      </c>
      <c r="E132" s="14" t="inlineStr">
        <is>
          <t>All prime numbers</t>
        </is>
      </c>
      <c r="F132" s="14" t="inlineStr">
        <is>
          <t>All even numbers</t>
        </is>
      </c>
      <c r="G132" s="14" t="inlineStr">
        <is>
          <t>All odd numbers</t>
        </is>
      </c>
      <c r="H132" s="14" t="inlineStr">
        <is>
          <t>All integers</t>
        </is>
      </c>
      <c r="I132" s="15" t="inlineStr">
        <is>
          <t>A</t>
        </is>
      </c>
      <c r="J132" s="16" t="inlineStr">
        <is>
          <t>Subset of universal set contains all prime numbers.</t>
        </is>
      </c>
    </row>
    <row r="133" ht="42" customHeight="1">
      <c r="A133" s="12" t="n">
        <v>132</v>
      </c>
      <c r="B133" s="13" t="inlineStr">
        <is>
          <t>Medium</t>
        </is>
      </c>
      <c r="C133" s="14" t="inlineStr">
        <is>
          <t>Basic Set Concepts (elements, subsets, types of sets)</t>
        </is>
      </c>
      <c r="D133" s="14" t="inlineStr">
        <is>
          <t>If A = {1, 2, 3} and B = {2, 4}, what is the union of sets A and B?</t>
        </is>
      </c>
      <c r="E133" s="14" t="inlineStr">
        <is>
          <t>{1, 2, 3, 4}</t>
        </is>
      </c>
      <c r="F133" s="14" t="inlineStr">
        <is>
          <t>{1, 2, 3, 4, 5}</t>
        </is>
      </c>
      <c r="G133" s="14" t="inlineStr">
        <is>
          <t>{1, 2, 3, 4, 6}</t>
        </is>
      </c>
      <c r="H133" s="14" t="inlineStr">
        <is>
          <t>{1, 2, 3, 4, 5, 6}</t>
        </is>
      </c>
      <c r="I133" s="15" t="inlineStr">
        <is>
          <t>B</t>
        </is>
      </c>
      <c r="J133" s="16" t="inlineStr">
        <is>
          <t>Union of sets A and B contains all elements from both sets.</t>
        </is>
      </c>
    </row>
    <row r="134" ht="42" customHeight="1">
      <c r="A134" s="12" t="n">
        <v>133</v>
      </c>
      <c r="B134" s="13" t="inlineStr">
        <is>
          <t>Medium</t>
        </is>
      </c>
      <c r="C134" s="14" t="inlineStr">
        <is>
          <t>Basic Set Concepts (elements, subsets, types of sets)</t>
        </is>
      </c>
      <c r="D134" s="14" t="inlineStr">
        <is>
          <t>If A = {1, 2} and B = {2, 3}, what is the difference of set B from set A?</t>
        </is>
      </c>
      <c r="E134" s="14" t="inlineStr">
        <is>
          <t>{3}</t>
        </is>
      </c>
      <c r="F134" s="14" t="inlineStr">
        <is>
          <t>{2, 3}</t>
        </is>
      </c>
      <c r="G134" s="14" t="inlineStr">
        <is>
          <t>{1, 3}</t>
        </is>
      </c>
      <c r="H134" s="14" t="inlineStr">
        <is>
          <t>{1, 2, 3}</t>
        </is>
      </c>
      <c r="I134" s="15" t="inlineStr">
        <is>
          <t>D</t>
        </is>
      </c>
      <c r="J134" s="16" t="inlineStr">
        <is>
          <t>Difference of set B from set A contains all elements in set B that are not in set A.</t>
        </is>
      </c>
    </row>
    <row r="135" ht="42" customHeight="1">
      <c r="A135" s="7" t="n">
        <v>134</v>
      </c>
      <c r="B135" s="8" t="inlineStr">
        <is>
          <t>Easy</t>
        </is>
      </c>
      <c r="C135" s="9" t="inlineStr">
        <is>
          <t>De Morgan’s Laws</t>
        </is>
      </c>
      <c r="D135" s="9" t="inlineStr">
        <is>
          <t>(A ∩ B)' = ?</t>
        </is>
      </c>
      <c r="E135" s="9" t="inlineStr">
        <is>
          <t>(B' ∩ A')</t>
        </is>
      </c>
      <c r="F135" s="9" t="inlineStr">
        <is>
          <t>A'</t>
        </is>
      </c>
      <c r="G135" s="9" t="inlineStr">
        <is>
          <t>B'</t>
        </is>
      </c>
      <c r="H135" s="9" t="inlineStr">
        <is>
          <t>A' ∪ B'</t>
        </is>
      </c>
      <c r="I135" s="10" t="inlineStr">
        <is>
          <t>A</t>
        </is>
      </c>
      <c r="J135" s="11" t="inlineStr"/>
    </row>
    <row r="136" ht="42" customHeight="1">
      <c r="A136" s="7" t="n">
        <v>135</v>
      </c>
      <c r="B136" s="8" t="inlineStr">
        <is>
          <t>Easy</t>
        </is>
      </c>
      <c r="C136" s="9" t="inlineStr">
        <is>
          <t>De Morgan’s Laws</t>
        </is>
      </c>
      <c r="D136" s="9" t="inlineStr">
        <is>
          <t>(A ∩ B)' ∩ (A ∪ B)' = ?</t>
        </is>
      </c>
      <c r="E136" s="9" t="inlineStr">
        <is>
          <t>∅</t>
        </is>
      </c>
      <c r="F136" s="9" t="inlineStr">
        <is>
          <t>A'</t>
        </is>
      </c>
      <c r="G136" s="9" t="inlineStr">
        <is>
          <t>B'</t>
        </is>
      </c>
      <c r="H136" s="9" t="inlineStr">
        <is>
          <t>(A ∪ B) ∩ (A ∩ B)</t>
        </is>
      </c>
      <c r="I136" s="10" t="inlineStr">
        <is>
          <t>A</t>
        </is>
      </c>
      <c r="J136" s="11" t="inlineStr"/>
    </row>
    <row r="137" ht="42" customHeight="1">
      <c r="A137" s="12" t="n">
        <v>136</v>
      </c>
      <c r="B137" s="13" t="inlineStr">
        <is>
          <t>Medium</t>
        </is>
      </c>
      <c r="C137" s="14" t="inlineStr">
        <is>
          <t>Venn Diagram Problems (2 sets)</t>
        </is>
      </c>
      <c r="D137" s="14" t="inlineStr">
        <is>
          <t>Let U be the universal set, A and B be two non-empty subsets. If</t>
        </is>
      </c>
      <c r="E137" s="14" t="inlineStr">
        <is>
          <t>A ∩ B</t>
        </is>
      </c>
      <c r="F137" s="14">
        <f> 3,</f>
        <v/>
      </c>
      <c r="G137" s="14" t="inlineStr">
        <is>
          <t>A</t>
        </is>
      </c>
      <c r="H137" s="14">
        <f> 7, and</f>
        <v/>
      </c>
      <c r="I137" s="15" t="inlineStr">
        <is>
          <t>B</t>
        </is>
      </c>
      <c r="J137" s="16">
        <f> 9, find</f>
        <v/>
      </c>
    </row>
    <row r="138" ht="42" customHeight="1">
      <c r="A138" s="12" t="n">
        <v>137</v>
      </c>
      <c r="B138" s="13" t="inlineStr">
        <is>
          <t>Medium</t>
        </is>
      </c>
      <c r="C138" s="14" t="inlineStr">
        <is>
          <t>Venn Diagram Problems (2 sets)</t>
        </is>
      </c>
      <c r="D138" s="14" t="inlineStr">
        <is>
          <t>Let A and B be two non-empty subsets. If</t>
        </is>
      </c>
      <c r="E138" s="14" t="inlineStr">
        <is>
          <t>A ∪ B</t>
        </is>
      </c>
      <c r="F138" s="14">
        <f> 12,</f>
        <v/>
      </c>
      <c r="G138" s="14" t="inlineStr">
        <is>
          <t>A ∩ B</t>
        </is>
      </c>
      <c r="H138" s="14">
        <f> 3, and</f>
        <v/>
      </c>
      <c r="I138" s="15" t="inlineStr">
        <is>
          <t>A</t>
        </is>
      </c>
      <c r="J138" s="16">
        <f> 7, find</f>
        <v/>
      </c>
    </row>
    <row r="139" ht="42" customHeight="1">
      <c r="A139" s="12" t="n">
        <v>138</v>
      </c>
      <c r="B139" s="13" t="inlineStr">
        <is>
          <t>Medium</t>
        </is>
      </c>
      <c r="C139" s="14" t="inlineStr">
        <is>
          <t>Word Problems using Sets</t>
        </is>
      </c>
      <c r="D139" s="14" t="inlineStr">
        <is>
          <t>A bakery sells 250 loaves of bread daily. If they sell 2/3 as many whole wheat loaves as white loaves, how many whole wheat loaves are sold?</t>
        </is>
      </c>
      <c r="E139" s="14" t="inlineStr">
        <is>
          <t>50</t>
        </is>
      </c>
      <c r="F139" s="14" t="inlineStr">
        <is>
          <t>75</t>
        </is>
      </c>
      <c r="G139" s="14" t="inlineStr">
        <is>
          <t>100</t>
        </is>
      </c>
      <c r="H139" s="14" t="inlineStr">
        <is>
          <t>125</t>
        </is>
      </c>
      <c r="I139" s="15" t="inlineStr">
        <is>
          <t>B</t>
        </is>
      </c>
      <c r="J139" s="16" t="inlineStr">
        <is>
          <t>Let W be the number of white loaves and WW be the number of whole wheat loaves; then WW = (2/3)W → 250 - WW = W → W = 125 → WW = 2/3(125) = 83.</t>
        </is>
      </c>
    </row>
    <row r="140" ht="42" customHeight="1">
      <c r="A140" s="12" t="n">
        <v>139</v>
      </c>
      <c r="B140" s="13" t="inlineStr">
        <is>
          <t>Medium</t>
        </is>
      </c>
      <c r="C140" s="14" t="inlineStr">
        <is>
          <t>Word Problems using Sets</t>
        </is>
      </c>
      <c r="D140" s="14" t="inlineStr">
        <is>
          <t>A company has 300 employees, with 1/4 being engineers and 1/6 being managers. How many employees are neither engineers nor managers?</t>
        </is>
      </c>
      <c r="E140" s="14" t="inlineStr">
        <is>
          <t>50</t>
        </is>
      </c>
      <c r="F140" s="14" t="inlineStr">
        <is>
          <t>75</t>
        </is>
      </c>
      <c r="G140" s="14" t="inlineStr">
        <is>
          <t>100</t>
        </is>
      </c>
      <c r="H140" s="14" t="inlineStr">
        <is>
          <t>150</t>
        </is>
      </c>
      <c r="I140" s="15" t="inlineStr">
        <is>
          <t>D</t>
        </is>
      </c>
      <c r="J140" s="16" t="inlineStr">
        <is>
          <t>Let E be the number of engineers and M be the number of managers; then E = 0.25(300) = 75 and M = 0.1667(300) = 50 → Total non-engineers and non-managers = 300 - (E + M) = 100.</t>
        </is>
      </c>
    </row>
    <row r="141" ht="42" customHeight="1">
      <c r="A141" s="12" t="n">
        <v>140</v>
      </c>
      <c r="B141" s="13" t="inlineStr">
        <is>
          <t>Medium</t>
        </is>
      </c>
      <c r="C141" s="14" t="inlineStr">
        <is>
          <t>Word Problems using Sets</t>
        </is>
      </c>
      <c r="D141" s="14" t="inlineStr">
        <is>
          <t>A set S contains all integers from 1 to 20, inclusive. If T is the subset of even numbers in S, what is the cardinality of T?</t>
        </is>
      </c>
      <c r="E141" s="14" t="inlineStr">
        <is>
          <t>5</t>
        </is>
      </c>
      <c r="F141" s="14" t="inlineStr">
        <is>
          <t>10</t>
        </is>
      </c>
      <c r="G141" s="14" t="inlineStr">
        <is>
          <t>15</t>
        </is>
      </c>
      <c r="H141" s="14" t="inlineStr">
        <is>
          <t>20</t>
        </is>
      </c>
      <c r="I141" s="15" t="inlineStr">
        <is>
          <t>C</t>
        </is>
      </c>
      <c r="J141" s="16" t="inlineStr">
        <is>
          <t>T = {2,4,...,18,20} →</t>
        </is>
      </c>
    </row>
    <row r="142" ht="42" customHeight="1">
      <c r="A142" s="12" t="n">
        <v>141</v>
      </c>
      <c r="B142" s="13" t="inlineStr">
        <is>
          <t>Medium</t>
        </is>
      </c>
      <c r="C142" s="14" t="inlineStr">
        <is>
          <t>Word Problems using Sets</t>
        </is>
      </c>
      <c r="D142" s="14" t="inlineStr">
        <is>
          <t>A group of friends want to go to a concert. If 3/5 of them are going and 1/4 are already bought tickets, how many have not yet bought tickets?</t>
        </is>
      </c>
      <c r="E142" s="14" t="inlineStr">
        <is>
          <t>12</t>
        </is>
      </c>
      <c r="F142" s="14" t="inlineStr">
        <is>
          <t>15</t>
        </is>
      </c>
      <c r="G142" s="14" t="inlineStr">
        <is>
          <t>18</t>
        </is>
      </c>
      <c r="H142" s="14" t="inlineStr">
        <is>
          <t>21</t>
        </is>
      </c>
      <c r="I142" s="15" t="inlineStr">
        <is>
          <t>B</t>
        </is>
      </c>
      <c r="J142" s="16" t="inlineStr">
        <is>
          <t>Let F be the total number of friends; then (3/5)F = 0.6F are going → 0.4F have not yet bought tickets → 0.4F - (1/4)(0.6F) = 0.2F have not yet bought tickets.</t>
        </is>
      </c>
    </row>
    <row r="143" ht="42" customHeight="1">
      <c r="A143" s="2" t="n">
        <v>142</v>
      </c>
      <c r="B143" s="3" t="inlineStr">
        <is>
          <t>Hard</t>
        </is>
      </c>
      <c r="C143" s="4" t="inlineStr">
        <is>
          <t>Venn Diagram Problems (3 sets)</t>
        </is>
      </c>
      <c r="D143" s="4" t="inlineStr">
        <is>
          <t>Let U be the universal set, A and B be two non-empty subsets. If</t>
        </is>
      </c>
      <c r="E143" s="4" t="inlineStr">
        <is>
          <t>A ∩ B</t>
        </is>
      </c>
      <c r="F143" s="4">
        <f> 5,</f>
        <v/>
      </c>
      <c r="G143" s="4" t="inlineStr">
        <is>
          <t>A</t>
        </is>
      </c>
      <c r="H143" s="4">
        <f> 10, and</f>
        <v/>
      </c>
      <c r="I143" s="5" t="inlineStr">
        <is>
          <t>B</t>
        </is>
      </c>
      <c r="J143" s="6">
        <f> 8, find</f>
        <v/>
      </c>
    </row>
    <row r="144" ht="42" customHeight="1">
      <c r="A144" s="2" t="n">
        <v>143</v>
      </c>
      <c r="B144" s="3" t="inlineStr">
        <is>
          <t>Hard</t>
        </is>
      </c>
      <c r="C144" s="4" t="inlineStr">
        <is>
          <t>Venn Diagram Problems (3 sets)</t>
        </is>
      </c>
      <c r="D144" s="4" t="inlineStr">
        <is>
          <t>Three sets A, B, and C are represented as Venn diagrams. If</t>
        </is>
      </c>
      <c r="E144" s="4" t="inlineStr">
        <is>
          <t>A ∪ B</t>
        </is>
      </c>
      <c r="F144" s="4">
        <f> 12,</f>
        <v/>
      </c>
      <c r="G144" s="4" t="inlineStr">
        <is>
          <t>A ∩ B</t>
        </is>
      </c>
      <c r="H144" s="4">
        <f> 4,</f>
        <v/>
      </c>
      <c r="I144" s="5" t="inlineStr">
        <is>
          <t>C</t>
        </is>
      </c>
      <c r="J144" s="6">
        <f> 8, and</f>
        <v/>
      </c>
    </row>
    <row r="145" ht="42" customHeight="1">
      <c r="A145" s="2" t="n">
        <v>144</v>
      </c>
      <c r="B145" s="3" t="inlineStr">
        <is>
          <t>Hard</t>
        </is>
      </c>
      <c r="C145" s="4" t="inlineStr">
        <is>
          <t>Venn Diagram Problems (3 sets)</t>
        </is>
      </c>
      <c r="D145" s="4" t="inlineStr">
        <is>
          <t>A set S has three subsets A, B, and C. If</t>
        </is>
      </c>
      <c r="E145" s="4" t="inlineStr">
        <is>
          <t>S</t>
        </is>
      </c>
      <c r="F145" s="4">
        <f> 20,</f>
        <v/>
      </c>
      <c r="G145" s="4" t="inlineStr">
        <is>
          <t>A ∩ B</t>
        </is>
      </c>
      <c r="H145" s="4">
        <f> 6,</f>
        <v/>
      </c>
      <c r="I145" s="5" t="inlineStr">
        <is>
          <t>B</t>
        </is>
      </c>
      <c r="J145" s="6">
        <f> 4, and</f>
        <v/>
      </c>
    </row>
    <row r="146" ht="42" customHeight="1">
      <c r="A146" s="7" t="n">
        <v>145</v>
      </c>
      <c r="B146" s="8" t="inlineStr">
        <is>
          <t>Easy</t>
        </is>
      </c>
      <c r="C146" s="9" t="inlineStr">
        <is>
          <t>Basic Set Concepts (elements, subsets, types of sets)</t>
        </is>
      </c>
      <c r="D146" s="9" t="inlineStr">
        <is>
          <t>Is the set {1, 2, 3} equal to the set {3, 2, 1}?</t>
        </is>
      </c>
      <c r="E146" s="9" t="inlineStr">
        <is>
          <t>A) Yes</t>
        </is>
      </c>
      <c r="F146" s="9" t="inlineStr">
        <is>
          <t>B) No</t>
        </is>
      </c>
      <c r="G146" s="9" t="inlineStr">
        <is>
          <t>C) Subset</t>
        </is>
      </c>
      <c r="H146" s="9" t="inlineStr">
        <is>
          <t>D) Superset</t>
        </is>
      </c>
      <c r="I146" s="10" t="inlineStr">
        <is>
          <t>A</t>
        </is>
      </c>
      <c r="J146" s="11" t="inlineStr">
        <is>
          <t>Order of elements does not matter in a set.</t>
        </is>
      </c>
    </row>
    <row r="147" ht="42" customHeight="1">
      <c r="A147" s="7" t="n">
        <v>146</v>
      </c>
      <c r="B147" s="8" t="inlineStr">
        <is>
          <t>Easy</t>
        </is>
      </c>
      <c r="C147" s="9" t="inlineStr">
        <is>
          <t>Basic Set Concepts (elements, subsets, types of sets)</t>
        </is>
      </c>
      <c r="D147" s="9" t="inlineStr">
        <is>
          <t>What is the complement of the set A = {1, 2, 3} with respect to the universal set U = {1, 2, 3, 4, 5}?</t>
        </is>
      </c>
      <c r="E147" s="9" t="inlineStr">
        <is>
          <t>A) {4, 5}</t>
        </is>
      </c>
      <c r="F147" s="9" t="inlineStr">
        <is>
          <t>B) {1, 2, 3}</t>
        </is>
      </c>
      <c r="G147" s="9" t="inlineStr">
        <is>
          <t>C) {}</t>
        </is>
      </c>
      <c r="H147" s="9" t="inlineStr">
        <is>
          <t>D) {1, 2, 3, 4, 5}</t>
        </is>
      </c>
      <c r="I147" s="10" t="inlineStr">
        <is>
          <t>A</t>
        </is>
      </c>
      <c r="J147" s="11" t="inlineStr">
        <is>
          <t>Complement of A is the set of all elements in U that are not in A.</t>
        </is>
      </c>
    </row>
    <row r="148" ht="42" customHeight="1">
      <c r="A148" s="7" t="n">
        <v>147</v>
      </c>
      <c r="B148" s="8" t="inlineStr">
        <is>
          <t>Easy</t>
        </is>
      </c>
      <c r="C148" s="9" t="inlineStr">
        <is>
          <t>Basic Set Concepts (elements, subsets, types of sets)</t>
        </is>
      </c>
      <c r="D148" s="9" t="inlineStr">
        <is>
          <t>Is the set {a, b} a subset of the set {a, b, c}?</t>
        </is>
      </c>
      <c r="E148" s="9" t="inlineStr">
        <is>
          <t>A) Yes</t>
        </is>
      </c>
      <c r="F148" s="9" t="inlineStr">
        <is>
          <t>B) No</t>
        </is>
      </c>
      <c r="G148" s="9" t="inlineStr">
        <is>
          <t>C) Subset but not proper</t>
        </is>
      </c>
      <c r="H148" s="9" t="inlineStr">
        <is>
          <t>D) Proper subset</t>
        </is>
      </c>
      <c r="I148" s="10" t="inlineStr">
        <is>
          <t>A</t>
        </is>
      </c>
      <c r="J148" s="11" t="inlineStr">
        <is>
          <t>Subset relation is reflexive and transitive.</t>
        </is>
      </c>
    </row>
    <row r="149" ht="42" customHeight="1">
      <c r="A149" s="7" t="n">
        <v>148</v>
      </c>
      <c r="B149" s="8" t="inlineStr">
        <is>
          <t>Easy</t>
        </is>
      </c>
      <c r="C149" s="9" t="inlineStr">
        <is>
          <t>Basic Set Concepts (elements, subsets, types of sets)</t>
        </is>
      </c>
      <c r="D149" s="9" t="inlineStr">
        <is>
          <t>What type of set is {1, 2, 3} if it contains only distinct elements?</t>
        </is>
      </c>
      <c r="E149" s="9" t="inlineStr">
        <is>
          <t>A) Finite</t>
        </is>
      </c>
      <c r="F149" s="9" t="inlineStr">
        <is>
          <t>B) Infinite</t>
        </is>
      </c>
      <c r="G149" s="9" t="inlineStr">
        <is>
          <t>C) Countable</t>
        </is>
      </c>
      <c r="H149" s="9" t="inlineStr">
        <is>
          <t>D) Uncountable</t>
        </is>
      </c>
      <c r="I149" s="10" t="inlineStr">
        <is>
          <t>A</t>
        </is>
      </c>
      <c r="J149" s="11" t="inlineStr">
        <is>
          <t>Finite means having a finite number of elements.</t>
        </is>
      </c>
    </row>
    <row r="150" ht="42" customHeight="1">
      <c r="A150" s="7" t="n">
        <v>149</v>
      </c>
      <c r="B150" s="8" t="inlineStr">
        <is>
          <t>Easy</t>
        </is>
      </c>
      <c r="C150" s="9" t="inlineStr">
        <is>
          <t>Operations on Sets (union, intersection, difference)</t>
        </is>
      </c>
      <c r="D150" s="9" t="inlineStr">
        <is>
          <t>Let U = {1, 2, 3}, A = {1, 2} and B = {2, 3}. Find U \ (A ∩ B).</t>
        </is>
      </c>
      <c r="E150" s="9" t="inlineStr">
        <is>
          <t>{1}</t>
        </is>
      </c>
      <c r="F150" s="9" t="inlineStr">
        <is>
          <t>{2, 3}</t>
        </is>
      </c>
      <c r="G150" s="9" t="inlineStr">
        <is>
          <t>{1, 3}</t>
        </is>
      </c>
      <c r="H150" s="9" t="inlineStr">
        <is>
          <t>{1, 2, 3}</t>
        </is>
      </c>
      <c r="I150" s="10" t="inlineStr">
        <is>
          <t>C</t>
        </is>
      </c>
      <c r="J150" s="11" t="inlineStr">
        <is>
          <t>U \ (A ∩ B) is the set of elements in U that are not common to A and B.</t>
        </is>
      </c>
    </row>
    <row r="151" ht="42" customHeight="1">
      <c r="A151" s="7" t="n">
        <v>150</v>
      </c>
      <c r="B151" s="8" t="inlineStr">
        <is>
          <t>Easy</t>
        </is>
      </c>
      <c r="C151" s="9" t="inlineStr">
        <is>
          <t>Operations on Sets (union, intersection, difference)</t>
        </is>
      </c>
      <c r="D151" s="9" t="inlineStr">
        <is>
          <t>Let A = {a, b} and B = {b, c}. Find A ∪ B.</t>
        </is>
      </c>
      <c r="E151" s="9" t="inlineStr">
        <is>
          <t>{a, b, c}</t>
        </is>
      </c>
      <c r="F151" s="9" t="inlineStr">
        <is>
          <t>{a, b}</t>
        </is>
      </c>
      <c r="G151" s="9" t="inlineStr">
        <is>
          <t>{a, c}</t>
        </is>
      </c>
      <c r="H151" s="9" t="inlineStr">
        <is>
          <t>{b, c}</t>
        </is>
      </c>
      <c r="I151" s="10" t="inlineStr">
        <is>
          <t>A</t>
        </is>
      </c>
      <c r="J151" s="11" t="inlineStr">
        <is>
          <t>A ∪ B contains all elements in sets A and B.</t>
        </is>
      </c>
    </row>
    <row r="152" ht="42" customHeight="1">
      <c r="A152" s="7" t="n">
        <v>151</v>
      </c>
      <c r="B152" s="8" t="inlineStr">
        <is>
          <t>Easy</t>
        </is>
      </c>
      <c r="C152" s="9" t="inlineStr">
        <is>
          <t>Operations on Sets (union, intersection, difference)</t>
        </is>
      </c>
      <c r="D152" s="9" t="inlineStr">
        <is>
          <t>If A = {1, 2, 3} and B = {2, 4}, find A - B.</t>
        </is>
      </c>
      <c r="E152" s="9" t="inlineStr">
        <is>
          <t>{1, 3}</t>
        </is>
      </c>
      <c r="F152" s="9" t="inlineStr">
        <is>
          <t>{1, 2, 3}</t>
        </is>
      </c>
      <c r="G152" s="9" t="inlineStr">
        <is>
          <t>{1, 2}</t>
        </is>
      </c>
      <c r="H152" s="9" t="inlineStr">
        <is>
          <t>{1, 3, 4}</t>
        </is>
      </c>
      <c r="I152" s="10" t="inlineStr">
        <is>
          <t>C</t>
        </is>
      </c>
      <c r="J152" s="11" t="inlineStr">
        <is>
          <t>A - B contains all elements in set A that are not in set B.</t>
        </is>
      </c>
    </row>
    <row r="153" ht="42" customHeight="1">
      <c r="A153" s="12" t="n">
        <v>152</v>
      </c>
      <c r="B153" s="13" t="inlineStr">
        <is>
          <t>Medium</t>
        </is>
      </c>
      <c r="C153" s="14" t="inlineStr">
        <is>
          <t>Set Identities and Properties</t>
        </is>
      </c>
      <c r="D153" s="14" t="inlineStr">
        <is>
          <t>Let U be the universal set, A ∩ B ≠ ∅. Which of the following is true?</t>
        </is>
      </c>
      <c r="E153" s="14" t="inlineStr">
        <is>
          <t>A) A ⊆ U, B ⊆ U</t>
        </is>
      </c>
      <c r="F153" s="14" t="inlineStr">
        <is>
          <t>B) A ⊆ B, U ⊆ A</t>
        </is>
      </c>
      <c r="G153" s="14" t="inlineStr">
        <is>
          <t>C) A ⊆ U, B ⊆ U, U ⊆ A ∪ B</t>
        </is>
      </c>
      <c r="H153" s="14" t="inlineStr">
        <is>
          <t>D) A ⊆ B, B ⊆ A</t>
        </is>
      </c>
      <c r="I153" s="15" t="inlineStr">
        <is>
          <t>A</t>
        </is>
      </c>
      <c r="J153" s="16" t="inlineStr">
        <is>
          <t>From the given condition, we know that both sets have non-empty intersection with the universal set.</t>
        </is>
      </c>
    </row>
    <row r="154" ht="42" customHeight="1">
      <c r="A154" s="12" t="n">
        <v>153</v>
      </c>
      <c r="B154" s="13" t="inlineStr">
        <is>
          <t>Medium</t>
        </is>
      </c>
      <c r="C154" s="14" t="inlineStr">
        <is>
          <t>Set Identities and Properties</t>
        </is>
      </c>
      <c r="D154" s="14" t="inlineStr">
        <is>
          <t>If A and B are sets such that A ∩ B = {x}, then which of the following is true?</t>
        </is>
      </c>
      <c r="E154" s="14" t="inlineStr">
        <is>
          <t>A)</t>
        </is>
      </c>
      <c r="F154" s="14" t="inlineStr">
        <is>
          <t>A ∪ B</t>
        </is>
      </c>
      <c r="G154" s="14">
        <f> 2</f>
        <v/>
      </c>
      <c r="H154" s="14" t="inlineStr">
        <is>
          <t>B)</t>
        </is>
      </c>
      <c r="I154" s="15" t="inlineStr">
        <is>
          <t>A</t>
        </is>
      </c>
      <c r="J154" s="16">
        <f> 1</f>
        <v/>
      </c>
    </row>
    <row r="155" ht="42" customHeight="1">
      <c r="A155" s="12" t="n">
        <v>154</v>
      </c>
      <c r="B155" s="13" t="inlineStr">
        <is>
          <t>Medium</t>
        </is>
      </c>
      <c r="C155" s="14" t="inlineStr">
        <is>
          <t>Set Identities and Properties</t>
        </is>
      </c>
      <c r="D155" s="14" t="inlineStr">
        <is>
          <t>If A ⊆ B and C ⊆ D, then which of the following is true?</t>
        </is>
      </c>
      <c r="E155" s="14" t="inlineStr">
        <is>
          <t>A) (A ∩ C) ⊆ (B ∩ D)</t>
        </is>
      </c>
      <c r="F155" s="14" t="inlineStr">
        <is>
          <t>B) (A ∪ C) ⊆ (B ∪ D)</t>
        </is>
      </c>
      <c r="G155" s="14" t="inlineStr">
        <is>
          <t>C) (A ∩ C) ⊆ (D ∩ B)</t>
        </is>
      </c>
      <c r="H155" s="14" t="inlineStr">
        <is>
          <t>D) (A ∪ C) ⊆ (D ∩ B)</t>
        </is>
      </c>
      <c r="I155" s="15" t="inlineStr">
        <is>
          <t>A</t>
        </is>
      </c>
      <c r="J155" s="16" t="inlineStr">
        <is>
          <t>The given conditions imply that A and C are subsets of B and D respectively, so their intersection is also a subset of the intersection of B and D.</t>
        </is>
      </c>
    </row>
    <row r="156" ht="42" customHeight="1">
      <c r="A156" s="12" t="n">
        <v>155</v>
      </c>
      <c r="B156" s="13" t="inlineStr">
        <is>
          <t>Medium</t>
        </is>
      </c>
      <c r="C156" s="14" t="inlineStr">
        <is>
          <t>Set Identities and Properties</t>
        </is>
      </c>
      <c r="D156" s="14" t="inlineStr">
        <is>
          <t>Let A and B be sets such that</t>
        </is>
      </c>
      <c r="E156" s="14" t="inlineStr">
        <is>
          <t>A</t>
        </is>
      </c>
      <c r="F156" s="14">
        <f> 5 and</f>
        <v/>
      </c>
      <c r="G156" s="14" t="inlineStr">
        <is>
          <t>B</t>
        </is>
      </c>
      <c r="H156" s="14">
        <f> 3. Which of the following could be true?</f>
        <v/>
      </c>
      <c r="I156" s="15" t="inlineStr">
        <is>
          <t>A</t>
        </is>
      </c>
      <c r="J156" s="16" t="inlineStr">
        <is>
          <t>A ∩ B</t>
        </is>
      </c>
    </row>
    <row r="157" ht="42" customHeight="1">
      <c r="A157" s="7" t="n">
        <v>156</v>
      </c>
      <c r="B157" s="8" t="inlineStr">
        <is>
          <t>Easy</t>
        </is>
      </c>
      <c r="C157" s="9" t="inlineStr">
        <is>
          <t>Cardinality of Sets</t>
        </is>
      </c>
      <c r="D157" s="9" t="inlineStr">
        <is>
          <t>Let A and B be finite sets. If</t>
        </is>
      </c>
      <c r="E157" s="9" t="inlineStr">
        <is>
          <t>A</t>
        </is>
      </c>
      <c r="F157" s="9">
        <f> 5 and</f>
        <v/>
      </c>
      <c r="G157" s="9" t="inlineStr">
        <is>
          <t>B</t>
        </is>
      </c>
      <c r="H157" s="9">
        <f> 3, what is the maximum possible value of</f>
        <v/>
      </c>
      <c r="I157" s="10" t="inlineStr">
        <is>
          <t>A</t>
        </is>
      </c>
      <c r="J157" s="11" t="inlineStr"/>
    </row>
    <row r="158" ht="42" customHeight="1">
      <c r="A158" s="7" t="n">
        <v>157</v>
      </c>
      <c r="B158" s="8" t="inlineStr">
        <is>
          <t>Easy</t>
        </is>
      </c>
      <c r="C158" s="9" t="inlineStr">
        <is>
          <t>Cardinality of Sets</t>
        </is>
      </c>
      <c r="D158" s="9" t="inlineStr">
        <is>
          <t>If A and B are finite sets with</t>
        </is>
      </c>
      <c r="E158" s="9" t="inlineStr">
        <is>
          <t>A</t>
        </is>
      </c>
      <c r="F158" s="9">
        <f> 2 and</f>
        <v/>
      </c>
      <c r="G158" s="9" t="inlineStr">
        <is>
          <t>B</t>
        </is>
      </c>
      <c r="H158" s="9">
        <f> 1, what is the value of</f>
        <v/>
      </c>
      <c r="I158" s="10" t="inlineStr">
        <is>
          <t>A</t>
        </is>
      </c>
      <c r="J158" s="11" t="inlineStr"/>
    </row>
    <row r="159" ht="42" customHeight="1">
      <c r="A159" s="7" t="n">
        <v>158</v>
      </c>
      <c r="B159" s="8" t="inlineStr">
        <is>
          <t>Easy</t>
        </is>
      </c>
      <c r="C159" s="9" t="inlineStr">
        <is>
          <t>Application-based Set Theory Problems</t>
        </is>
      </c>
      <c r="D159" s="9" t="inlineStr">
        <is>
          <t>Let U be the universal set containing all students in a university. If A is the set of students studying mathematics and B is the set of students studying computer science, find P(A ∩ B).</t>
        </is>
      </c>
      <c r="E159" s="9" t="inlineStr">
        <is>
          <t>0.2</t>
        </is>
      </c>
      <c r="F159" s="9" t="inlineStr">
        <is>
          <t>0.4</t>
        </is>
      </c>
      <c r="G159" s="9" t="inlineStr">
        <is>
          <t>0.5</t>
        </is>
      </c>
      <c r="H159" s="9" t="inlineStr">
        <is>
          <t>0.3</t>
        </is>
      </c>
      <c r="I159" s="10" t="inlineStr">
        <is>
          <t>A</t>
        </is>
      </c>
      <c r="J159" s="11" t="inlineStr">
        <is>
          <t>P(A ∩ B) = P(A) × P(B) since events are independent.</t>
        </is>
      </c>
    </row>
    <row r="160" ht="42" customHeight="1">
      <c r="A160" s="7" t="n">
        <v>159</v>
      </c>
      <c r="B160" s="8" t="inlineStr">
        <is>
          <t>Easy</t>
        </is>
      </c>
      <c r="C160" s="9" t="inlineStr">
        <is>
          <t>Application-based Set Theory Problems</t>
        </is>
      </c>
      <c r="D160" s="9" t="inlineStr">
        <is>
          <t>Find the number of elements in the set {1, 2, 3, ..., 10} that are not divisible by 4 or 5.</t>
        </is>
      </c>
      <c r="E160" s="9" t="inlineStr">
        <is>
          <t>6</t>
        </is>
      </c>
      <c r="F160" s="9" t="inlineStr">
        <is>
          <t>7</t>
        </is>
      </c>
      <c r="G160" s="9" t="inlineStr">
        <is>
          <t>8</t>
        </is>
      </c>
      <c r="H160" s="9" t="inlineStr">
        <is>
          <t>9</t>
        </is>
      </c>
      <c r="I160" s="10" t="inlineStr">
        <is>
          <t>D</t>
        </is>
      </c>
      <c r="J160" s="11" t="inlineStr">
        <is>
          <t>Count numbers not divisible by 4 or 5.</t>
        </is>
      </c>
    </row>
    <row r="161" ht="42" customHeight="1">
      <c r="A161" s="7" t="n">
        <v>160</v>
      </c>
      <c r="B161" s="8" t="inlineStr">
        <is>
          <t>Easy</t>
        </is>
      </c>
      <c r="C161" s="9" t="inlineStr">
        <is>
          <t>Application-based Set Theory Problems</t>
        </is>
      </c>
      <c r="D161" s="9" t="inlineStr">
        <is>
          <t>If A and B are sets such that P(A) = 0.6 and P(B) = 0.8, find P(A ∩ B).</t>
        </is>
      </c>
      <c r="E161" s="9" t="inlineStr">
        <is>
          <t>0.48</t>
        </is>
      </c>
      <c r="F161" s="9" t="inlineStr">
        <is>
          <t>0.24</t>
        </is>
      </c>
      <c r="G161" s="9" t="inlineStr">
        <is>
          <t>0.36</t>
        </is>
      </c>
      <c r="H161" s="9" t="inlineStr">
        <is>
          <t>0.4</t>
        </is>
      </c>
      <c r="I161" s="10" t="inlineStr">
        <is>
          <t>A</t>
        </is>
      </c>
      <c r="J161" s="11" t="inlineStr">
        <is>
          <t>P(A ∩ B) = P(A) × P(B).</t>
        </is>
      </c>
    </row>
    <row r="162" ht="42" customHeight="1">
      <c r="A162" s="2" t="n">
        <v>161</v>
      </c>
      <c r="B162" s="3" t="inlineStr">
        <is>
          <t>Hard</t>
        </is>
      </c>
      <c r="C162" s="4" t="inlineStr">
        <is>
          <t>De Morgan’s Laws</t>
        </is>
      </c>
      <c r="D162" s="4" t="inlineStr">
        <is>
          <t>Let U be the universal set, A and B be sets such that A ∩ B = {x}, A ∖ B = {y} and B ∖ A = {z}. Which of the following is true?</t>
        </is>
      </c>
      <c r="E162" s="4" t="inlineStr">
        <is>
          <t>U = (A ∪ B) ∖ {x,y,z}</t>
        </is>
      </c>
      <c r="F162" s="4" t="inlineStr">
        <is>
          <t>(A ∪ B) ∖ {x,y,z} ⊆ U</t>
        </is>
      </c>
      <c r="G162" s="4" t="inlineStr">
        <is>
          <t>(A ∩ B) ∪ (A ∖ B) ∪ (B ∖ A) = U</t>
        </is>
      </c>
      <c r="H162" s="4" t="inlineStr">
        <is>
          <t>A ∪ B = U</t>
        </is>
      </c>
      <c r="I162" s="5" t="inlineStr">
        <is>
          <t>D</t>
        </is>
      </c>
      <c r="J162" s="6" t="inlineStr">
        <is>
          <t>(U is the universal set, so it contains all elements)</t>
        </is>
      </c>
    </row>
    <row r="163" ht="42" customHeight="1">
      <c r="A163" s="2" t="n">
        <v>162</v>
      </c>
      <c r="B163" s="3" t="inlineStr">
        <is>
          <t>Hard</t>
        </is>
      </c>
      <c r="C163" s="4" t="inlineStr">
        <is>
          <t>De Morgan’s Laws</t>
        </is>
      </c>
      <c r="D163" s="4" t="inlineStr">
        <is>
          <t>Given sets A and B such that A ∩ B = {x} and A ∖ B = {y,z}. Which of the following statements about (A ∪ B)’ is true?</t>
        </is>
      </c>
      <c r="E163" s="4" t="inlineStr">
        <is>
          <t>{(x),(y,z)}</t>
        </is>
      </c>
      <c r="F163" s="4" t="inlineStr">
        <is>
          <t>(x,y,z)</t>
        </is>
      </c>
      <c r="G163" s="4" t="inlineStr">
        <is>
          <t>{x,y,z}</t>
        </is>
      </c>
      <c r="H163" s="4" t="inlineStr">
        <is>
          <t>{(x),y,z}</t>
        </is>
      </c>
      <c r="I163" s="5" t="inlineStr">
        <is>
          <t>B</t>
        </is>
      </c>
      <c r="J163" s="6" t="inlineStr">
        <is>
          <t>(The complement of a union is the intersection of complements)</t>
        </is>
      </c>
    </row>
    <row r="164" ht="42" customHeight="1">
      <c r="A164" s="2" t="n">
        <v>163</v>
      </c>
      <c r="B164" s="3" t="inlineStr">
        <is>
          <t>Hard</t>
        </is>
      </c>
      <c r="C164" s="4" t="inlineStr">
        <is>
          <t>De Morgan’s Laws</t>
        </is>
      </c>
      <c r="D164" s="4" t="inlineStr">
        <is>
          <t>Let A and B be sets such that A ∩ B = φ, A ∖ B = {a,b} and B ∖ A = {c,d}. Which of the following statements about (A ∪ B)’ is true?</t>
        </is>
      </c>
      <c r="E164" s="4" t="inlineStr">
        <is>
          <t>(a,b,c,d)</t>
        </is>
      </c>
      <c r="F164" s="4" t="inlineStr">
        <is>
          <t>{(a,b),(c,d)}</t>
        </is>
      </c>
      <c r="G164" s="4" t="inlineStr">
        <is>
          <t>{a,b,c,d}</t>
        </is>
      </c>
      <c r="H164" s="4" t="inlineStr">
        <is>
          <t>{(a,b),c,d}</t>
        </is>
      </c>
      <c r="I164" s="5" t="inlineStr">
        <is>
          <t>C</t>
        </is>
      </c>
      <c r="J164" s="6" t="inlineStr">
        <is>
          <t>(The complement of a union is the intersection of complements)</t>
        </is>
      </c>
    </row>
    <row r="165" ht="42" customHeight="1">
      <c r="A165" s="2" t="n">
        <v>164</v>
      </c>
      <c r="B165" s="3" t="inlineStr">
        <is>
          <t>Hard</t>
        </is>
      </c>
      <c r="C165" s="4" t="inlineStr">
        <is>
          <t>De Morgan’s Laws</t>
        </is>
      </c>
      <c r="D165" s="4" t="inlineStr">
        <is>
          <t>Given sets A and B such that A ∩ B = {x,y} and A ∖ B = φ. Which of the following statements about (A ∪ B)’ is true?</t>
        </is>
      </c>
      <c r="E165" s="4" t="inlineStr">
        <is>
          <t>(x,y)</t>
        </is>
      </c>
      <c r="F165" s="4" t="inlineStr">
        <is>
          <t>{(x),(y)}</t>
        </is>
      </c>
      <c r="G165" s="4" t="inlineStr">
        <is>
          <t>{x,y}</t>
        </is>
      </c>
      <c r="H165" s="4" t="inlineStr">
        <is>
          <t>{(x),y}</t>
        </is>
      </c>
      <c r="I165" s="5" t="inlineStr">
        <is>
          <t>D</t>
        </is>
      </c>
      <c r="J165" s="6" t="inlineStr">
        <is>
          <t>(The complement of a union is the intersection of complements)</t>
        </is>
      </c>
    </row>
    <row r="166" ht="42" customHeight="1">
      <c r="A166" s="2" t="n">
        <v>165</v>
      </c>
      <c r="B166" s="3" t="inlineStr">
        <is>
          <t>Hard</t>
        </is>
      </c>
      <c r="C166" s="4" t="inlineStr">
        <is>
          <t>Application-based Set Theory Problems</t>
        </is>
      </c>
      <c r="D166" s="4" t="inlineStr">
        <is>
          <t>Let U be the universal set containing all students in a university. If A is the set of students who have studied mathematics, B is the set of students who have studied physics, and C is the set of students who have studied both mathematics and physics, find</t>
        </is>
      </c>
      <c r="E166" s="4" t="inlineStr">
        <is>
          <t>A ∩ C</t>
        </is>
      </c>
      <c r="F166" s="4" t="inlineStr">
        <is>
          <t>. A) 10 B) 15 C) 20 D) 25</t>
        </is>
      </c>
      <c r="G166" s="4" t="inlineStr">
        <is>
          <t>C</t>
        </is>
      </c>
      <c r="H166" s="4" t="inlineStr">
        <is>
          <t>The given information implies that</t>
        </is>
      </c>
      <c r="I166" s="5" t="inlineStr">
        <is>
          <t>A</t>
        </is>
      </c>
      <c r="J166" s="6" t="inlineStr">
        <is>
          <t>=</t>
        </is>
      </c>
    </row>
    <row r="167" ht="42" customHeight="1">
      <c r="A167" s="7" t="n">
        <v>166</v>
      </c>
      <c r="B167" s="8" t="inlineStr">
        <is>
          <t>Easy</t>
        </is>
      </c>
      <c r="C167" s="9" t="inlineStr">
        <is>
          <t>Complement of Sets</t>
        </is>
      </c>
      <c r="D167" s="9" t="inlineStr">
        <is>
          <t>If A ∩ B = {x}, then what is the complement of A ∪ B?</t>
        </is>
      </c>
      <c r="E167" s="9" t="inlineStr">
        <is>
          <t>{y}</t>
        </is>
      </c>
      <c r="F167" s="9" t="inlineStr">
        <is>
          <t>{z}</t>
        </is>
      </c>
      <c r="G167" s="9" t="inlineStr">
        <is>
          <t>{w}</t>
        </is>
      </c>
      <c r="H167" s="9" t="inlineStr">
        <is>
          <t>{x}</t>
        </is>
      </c>
      <c r="I167" s="10" t="inlineStr">
        <is>
          <t>A</t>
        </is>
      </c>
      <c r="J167" s="11" t="inlineStr">
        <is>
          <t>Since A ∩ B has only one element, A ∪ B contains all elements except x, and its complement is just {x}.</t>
        </is>
      </c>
    </row>
    <row r="168" ht="42" customHeight="1">
      <c r="A168" s="7" t="n">
        <v>167</v>
      </c>
      <c r="B168" s="8" t="inlineStr">
        <is>
          <t>Easy</t>
        </is>
      </c>
      <c r="C168" s="9" t="inlineStr">
        <is>
          <t>Complement of Sets</t>
        </is>
      </c>
      <c r="D168" s="9" t="inlineStr">
        <is>
          <t>Let A = {1, 2, 3} and U = {1, 2, 3, 4, 5}. What is the complement of A?</t>
        </is>
      </c>
      <c r="E168" s="9" t="inlineStr">
        <is>
          <t>{4, 5}</t>
        </is>
      </c>
      <c r="F168" s="9" t="inlineStr">
        <is>
          <t>{1, 4}</t>
        </is>
      </c>
      <c r="G168" s="9" t="inlineStr">
        <is>
          <t>{2, 5}</t>
        </is>
      </c>
      <c r="H168" s="9" t="inlineStr">
        <is>
          <t>{3, 4}</t>
        </is>
      </c>
      <c r="I168" s="10" t="inlineStr">
        <is>
          <t>B</t>
        </is>
      </c>
      <c r="J168" s="11" t="inlineStr">
        <is>
          <t>The complement of A is the set of all elements in U that are not in A.</t>
        </is>
      </c>
    </row>
    <row r="169" ht="42" customHeight="1">
      <c r="A169" s="7" t="n">
        <v>168</v>
      </c>
      <c r="B169" s="8" t="inlineStr">
        <is>
          <t>Easy</t>
        </is>
      </c>
      <c r="C169" s="9" t="inlineStr">
        <is>
          <t>Complement of Sets</t>
        </is>
      </c>
      <c r="D169" s="9" t="inlineStr">
        <is>
          <t>If A and B are sets such that A ∩ B = ∅, then what is the complement of A ∪ B?</t>
        </is>
      </c>
      <c r="E169" s="9" t="inlineStr">
        <is>
          <t>A</t>
        </is>
      </c>
      <c r="F169" s="9" t="inlineStr">
        <is>
          <t>B</t>
        </is>
      </c>
      <c r="G169" s="9" t="inlineStr">
        <is>
          <t>U-A-U</t>
        </is>
      </c>
      <c r="H169" s="9" t="inlineStr">
        <is>
          <t>∅</t>
        </is>
      </c>
      <c r="I169" s="10" t="inlineStr">
        <is>
          <t>D</t>
        </is>
      </c>
      <c r="J169" s="11" t="inlineStr">
        <is>
          <t>Since A and B have no common elements, their union contains all elements except those in both sets, and its complement is just ∅.</t>
        </is>
      </c>
    </row>
    <row r="170" ht="42" customHeight="1">
      <c r="A170" s="2" t="n">
        <v>169</v>
      </c>
      <c r="B170" s="3" t="inlineStr">
        <is>
          <t>Hard</t>
        </is>
      </c>
      <c r="C170" s="4" t="inlineStr">
        <is>
          <t>Set Identities and Properties</t>
        </is>
      </c>
      <c r="D170" s="4" t="inlineStr">
        <is>
          <t>Let U be the universal set, A and B disjoint sets. If</t>
        </is>
      </c>
      <c r="E170" s="4" t="inlineStr">
        <is>
          <t>A ∪ B</t>
        </is>
      </c>
      <c r="F170" s="4">
        <f> 10 and</f>
        <v/>
      </c>
      <c r="G170" s="4" t="inlineStr">
        <is>
          <t>A ∩ B</t>
        </is>
      </c>
      <c r="H170" s="4">
        <f> 2, find</f>
        <v/>
      </c>
      <c r="I170" s="5" t="inlineStr">
        <is>
          <t>A</t>
        </is>
      </c>
      <c r="J170" s="6" t="inlineStr"/>
    </row>
    <row r="171" ht="42" customHeight="1">
      <c r="A171" s="12" t="n">
        <v>170</v>
      </c>
      <c r="B171" s="13" t="inlineStr">
        <is>
          <t>Medium</t>
        </is>
      </c>
      <c r="C171" s="14" t="inlineStr">
        <is>
          <t>Application-based Set Theory Problems</t>
        </is>
      </c>
      <c r="D171" s="14" t="inlineStr">
        <is>
          <t>Let A and B be two sets such that</t>
        </is>
      </c>
      <c r="E171" s="14" t="inlineStr">
        <is>
          <t>A</t>
        </is>
      </c>
      <c r="F171" s="14">
        <f>10,</f>
        <v/>
      </c>
      <c r="G171" s="14" t="inlineStr">
        <is>
          <t>B</t>
        </is>
      </c>
      <c r="H171" s="14">
        <f>8, and</f>
        <v/>
      </c>
      <c r="I171" s="15" t="inlineStr">
        <is>
          <t>A</t>
        </is>
      </c>
      <c r="J171" s="16">
        <f>4. Find</f>
        <v/>
      </c>
    </row>
    <row r="172" ht="42" customHeight="1">
      <c r="A172" s="2" t="n">
        <v>171</v>
      </c>
      <c r="B172" s="3" t="inlineStr">
        <is>
          <t>Hard</t>
        </is>
      </c>
      <c r="C172" s="4" t="inlineStr">
        <is>
          <t>Operations on Sets (union, intersection, difference)</t>
        </is>
      </c>
      <c r="D172" s="4" t="inlineStr">
        <is>
          <t>Let U be the universal set containing sets A and B. If</t>
        </is>
      </c>
      <c r="E172" s="4" t="inlineStr">
        <is>
          <t>A ∩ B</t>
        </is>
      </c>
      <c r="F172" s="4">
        <f> 3 and</f>
        <v/>
      </c>
      <c r="G172" s="4" t="inlineStr">
        <is>
          <t>A ∪ B</t>
        </is>
      </c>
      <c r="H172" s="4">
        <f> 10, find</f>
        <v/>
      </c>
      <c r="I172" s="5" t="inlineStr">
        <is>
          <t>A</t>
        </is>
      </c>
      <c r="J172" s="6" t="inlineStr"/>
    </row>
    <row r="173" ht="42" customHeight="1">
      <c r="A173" s="2" t="n">
        <v>172</v>
      </c>
      <c r="B173" s="3" t="inlineStr">
        <is>
          <t>Hard</t>
        </is>
      </c>
      <c r="C173" s="4" t="inlineStr">
        <is>
          <t>Operations on Sets (union, intersection, difference)</t>
        </is>
      </c>
      <c r="D173" s="4" t="inlineStr">
        <is>
          <t>If A and B are sets such that</t>
        </is>
      </c>
      <c r="E173" s="4" t="inlineStr">
        <is>
          <t>A</t>
        </is>
      </c>
      <c r="F173" s="4">
        <f> 12,</f>
        <v/>
      </c>
      <c r="G173" s="4" t="inlineStr">
        <is>
          <t>B</t>
        </is>
      </c>
      <c r="H173" s="4">
        <f> 8, and</f>
        <v/>
      </c>
      <c r="I173" s="5" t="inlineStr">
        <is>
          <t>A</t>
        </is>
      </c>
      <c r="J173" s="6">
        <f> 4, find</f>
        <v/>
      </c>
    </row>
    <row r="174" ht="42" customHeight="1">
      <c r="A174" s="2" t="n">
        <v>173</v>
      </c>
      <c r="B174" s="3" t="inlineStr">
        <is>
          <t>Hard</t>
        </is>
      </c>
      <c r="C174" s="4" t="inlineStr">
        <is>
          <t>Operations on Sets (union, intersection, difference)</t>
        </is>
      </c>
      <c r="D174" s="4" t="inlineStr">
        <is>
          <t>Let A and B be sets such that A ⊆ B. If</t>
        </is>
      </c>
      <c r="E174" s="4" t="inlineStr">
        <is>
          <t>A^c ∩ B^c</t>
        </is>
      </c>
      <c r="F174" s="4">
        <f> 2 and</f>
        <v/>
      </c>
      <c r="G174" s="4" t="inlineStr">
        <is>
          <t>A^c ∪ B^c</t>
        </is>
      </c>
      <c r="H174" s="4">
        <f> 8, find</f>
        <v/>
      </c>
      <c r="I174" s="5" t="inlineStr">
        <is>
          <t>B</t>
        </is>
      </c>
      <c r="J174" s="6" t="inlineStr"/>
    </row>
    <row r="175" ht="42" customHeight="1">
      <c r="A175" s="12" t="n">
        <v>174</v>
      </c>
      <c r="B175" s="13" t="inlineStr">
        <is>
          <t>Medium</t>
        </is>
      </c>
      <c r="C175" s="14" t="inlineStr">
        <is>
          <t>De Morgan’s Laws</t>
        </is>
      </c>
      <c r="D175" s="14" t="inlineStr">
        <is>
          <t>Let U be the universal set, A and B be sets. If A ∩ B' = φ and A' ∩ B = φ, then which of the following is true?</t>
        </is>
      </c>
      <c r="E175" s="14" t="inlineStr">
        <is>
          <t>A'</t>
        </is>
      </c>
      <c r="F175" s="14" t="inlineStr">
        <is>
          <t>B' are disjoint sets</t>
        </is>
      </c>
      <c r="G175" s="14" t="inlineStr">
        <is>
          <t>A and B are disjoint sets</t>
        </is>
      </c>
      <c r="H175" s="14" t="inlineStr">
        <is>
          <t>U = A ∪ B</t>
        </is>
      </c>
      <c r="I175" s="15" t="inlineStr">
        <is>
          <t>A</t>
        </is>
      </c>
      <c r="J175" s="16" t="inlineStr">
        <is>
          <t>D</t>
        </is>
      </c>
    </row>
    <row r="176" ht="42" customHeight="1">
      <c r="A176" s="12" t="n">
        <v>175</v>
      </c>
      <c r="B176" s="13" t="inlineStr">
        <is>
          <t>Medium</t>
        </is>
      </c>
      <c r="C176" s="14" t="inlineStr">
        <is>
          <t>De Morgan’s Laws</t>
        </is>
      </c>
      <c r="D176" s="14" t="inlineStr">
        <is>
          <t>(P ∩ Q)' and (P' ∩ Q')' are equal to which of the following?</t>
        </is>
      </c>
      <c r="E176" s="14" t="inlineStr">
        <is>
          <t>P ∪ Q'</t>
        </is>
      </c>
      <c r="F176" s="14" t="inlineStr">
        <is>
          <t>P ∩ Q'</t>
        </is>
      </c>
      <c r="G176" s="14" t="inlineStr">
        <is>
          <t>(P ∪ Q)'</t>
        </is>
      </c>
      <c r="H176" s="14" t="inlineStr">
        <is>
          <t>P' ∪ Q'</t>
        </is>
      </c>
      <c r="I176" s="15" t="inlineStr">
        <is>
          <t>B</t>
        </is>
      </c>
      <c r="J176" s="16" t="inlineStr">
        <is>
          <t>(By De Morgan's laws, (P ∩ Q)' = P' ∪ Q', so (P ∩ Q)' and (P' ∩ Q')' are equal to (P' ∪ Q')'.</t>
        </is>
      </c>
    </row>
    <row r="177" ht="42" customHeight="1">
      <c r="A177" s="12" t="n">
        <v>176</v>
      </c>
      <c r="B177" s="13" t="inlineStr">
        <is>
          <t>Medium</t>
        </is>
      </c>
      <c r="C177" s="14" t="inlineStr">
        <is>
          <t>De Morgan’s Laws</t>
        </is>
      </c>
      <c r="D177" s="14" t="inlineStr">
        <is>
          <t>If A and B are sets such that A ∩ B = φ and A ∪ B = U, then which of the following is true?</t>
        </is>
      </c>
      <c r="E177" s="14" t="inlineStr">
        <is>
          <t>A' ∪ B'</t>
        </is>
      </c>
      <c r="F177" s="14" t="inlineStr">
        <is>
          <t>A ∪ B</t>
        </is>
      </c>
      <c r="G177" s="14" t="inlineStr">
        <is>
          <t>U'</t>
        </is>
      </c>
      <c r="H177" s="14" t="inlineStr">
        <is>
          <t>A'</t>
        </is>
      </c>
      <c r="I177" s="15" t="inlineStr">
        <is>
          <t>D</t>
        </is>
      </c>
      <c r="J177" s="16" t="inlineStr">
        <is>
          <t>(Since A ∩ B = φ, we have A' ∪ B' = U, so A' ∪ B' = U.)</t>
        </is>
      </c>
    </row>
    <row r="178" ht="42" customHeight="1">
      <c r="A178" s="12" t="n">
        <v>177</v>
      </c>
      <c r="B178" s="13" t="inlineStr">
        <is>
          <t>Medium</t>
        </is>
      </c>
      <c r="C178" s="14" t="inlineStr">
        <is>
          <t>De Morgan’s Laws</t>
        </is>
      </c>
      <c r="D178" s="14" t="inlineStr">
        <is>
          <t>(P ∪ Q)' and (P' ∪ Q')' are equal to which of the following?</t>
        </is>
      </c>
      <c r="E178" s="14" t="inlineStr">
        <is>
          <t>P ∩ Q'</t>
        </is>
      </c>
      <c r="F178" s="14" t="inlineStr">
        <is>
          <t>P' ∩ Q'</t>
        </is>
      </c>
      <c r="G178" s="14" t="inlineStr">
        <is>
          <t>(P ∩ Q)'</t>
        </is>
      </c>
      <c r="H178" s="14" t="inlineStr">
        <is>
          <t>P ∪ Q'</t>
        </is>
      </c>
      <c r="I178" s="15" t="inlineStr">
        <is>
          <t>A</t>
        </is>
      </c>
      <c r="J178" s="16" t="inlineStr">
        <is>
          <t>(By De Morgan's laws, (P ∪ Q)' = P' ∧ Q', so (P ∪ Q)' and (P' ∪ Q')' are equal to P' ∧ Q'.)</t>
        </is>
      </c>
    </row>
    <row r="179" ht="42" customHeight="1">
      <c r="A179" s="2" t="n">
        <v>178</v>
      </c>
      <c r="B179" s="3" t="inlineStr">
        <is>
          <t>Hard</t>
        </is>
      </c>
      <c r="C179" s="4" t="inlineStr">
        <is>
          <t>Complement of Sets</t>
        </is>
      </c>
      <c r="D179" s="4" t="inlineStr">
        <is>
          <t>Let U be the universal set, and A and B be two sets such that</t>
        </is>
      </c>
      <c r="E179" s="4" t="inlineStr">
        <is>
          <t>A ∪ B</t>
        </is>
      </c>
      <c r="F179" s="4">
        <f> 10 and</f>
        <v/>
      </c>
      <c r="G179" s="4" t="inlineStr">
        <is>
          <t>A ∩ B</t>
        </is>
      </c>
      <c r="H179" s="4">
        <f> 2. Find</f>
        <v/>
      </c>
      <c r="I179" s="5" t="inlineStr">
        <is>
          <t>A</t>
        </is>
      </c>
      <c r="J179" s="6" t="inlineStr">
        <is>
          <t>. A) 6 B) 8 C) 4 D) 12</t>
        </is>
      </c>
    </row>
    <row r="180" ht="42" customHeight="1">
      <c r="A180" s="2" t="n">
        <v>179</v>
      </c>
      <c r="B180" s="3" t="inlineStr">
        <is>
          <t>Hard</t>
        </is>
      </c>
      <c r="C180" s="4" t="inlineStr">
        <is>
          <t>Complement of Sets</t>
        </is>
      </c>
      <c r="D180" s="4" t="inlineStr">
        <is>
          <t>If A and B are two sets such that</t>
        </is>
      </c>
      <c r="E180" s="4" t="inlineStr">
        <is>
          <t>A^c ∩ B^c</t>
        </is>
      </c>
      <c r="F180" s="4">
        <f> 3, find</f>
        <v/>
      </c>
      <c r="G180" s="4" t="inlineStr">
        <is>
          <t>(A ∪ B)^c</t>
        </is>
      </c>
      <c r="H180" s="4" t="inlineStr">
        <is>
          <t>. A) 6 B) 9 C) 12 D) 15</t>
        </is>
      </c>
      <c r="I180" s="5" t="inlineStr">
        <is>
          <t>B</t>
        </is>
      </c>
      <c r="J180" s="6" t="inlineStr">
        <is>
          <t>The complement of the union is equal to the difference between the universal set size and the sum of the complements.</t>
        </is>
      </c>
    </row>
    <row r="181" ht="42" customHeight="1">
      <c r="A181" s="2" t="n">
        <v>180</v>
      </c>
      <c r="B181" s="3" t="inlineStr">
        <is>
          <t>Hard</t>
        </is>
      </c>
      <c r="C181" s="4" t="inlineStr">
        <is>
          <t>Basic Set Concepts (elements, subsets, types of sets)</t>
        </is>
      </c>
      <c r="D181" s="4" t="inlineStr">
        <is>
          <t>Let U be the universal set containing all integers. Which of the following is a subset of U?</t>
        </is>
      </c>
      <c r="E181" s="4" t="inlineStr">
        <is>
          <t>All prime numbers</t>
        </is>
      </c>
      <c r="F181" s="4" t="inlineStr">
        <is>
          <t>All even numbers</t>
        </is>
      </c>
      <c r="G181" s="4" t="inlineStr">
        <is>
          <t>All odd numbers</t>
        </is>
      </c>
      <c r="H181" s="4" t="inlineStr">
        <is>
          <t>The set of all integers</t>
        </is>
      </c>
      <c r="I181" s="5" t="inlineStr">
        <is>
          <t>D</t>
        </is>
      </c>
      <c r="J181" s="6" t="inlineStr">
        <is>
          <t>A subset of U must contain at least one element from U.</t>
        </is>
      </c>
    </row>
    <row r="182" ht="42" customHeight="1">
      <c r="A182" s="2" t="n">
        <v>181</v>
      </c>
      <c r="B182" s="3" t="inlineStr">
        <is>
          <t>Hard</t>
        </is>
      </c>
      <c r="C182" s="4" t="inlineStr">
        <is>
          <t>Basic Set Concepts (elements, subsets, types of sets)</t>
        </is>
      </c>
      <c r="D182" s="4" t="inlineStr">
        <is>
          <t>If A and B are two disjoint sets, which of the following is true?</t>
        </is>
      </c>
      <c r="E182" s="4" t="inlineStr">
        <is>
          <t>Their union is a proper subset of their intersection</t>
        </is>
      </c>
      <c r="F182" s="4" t="inlineStr">
        <is>
          <t>Their intersection is a proper subset of their union</t>
        </is>
      </c>
      <c r="G182" s="4" t="inlineStr">
        <is>
          <t>The union of A and B is equal to their intersection</t>
        </is>
      </c>
      <c r="H182" s="4" t="inlineStr">
        <is>
          <t>A is a subset of B</t>
        </is>
      </c>
      <c r="I182" s="5" t="inlineStr">
        <is>
          <t>B</t>
        </is>
      </c>
      <c r="J182" s="6" t="inlineStr">
        <is>
          <t>Disjoint sets have no elements in common.</t>
        </is>
      </c>
    </row>
    <row r="183" ht="42" customHeight="1">
      <c r="A183" s="2" t="n">
        <v>182</v>
      </c>
      <c r="B183" s="3" t="inlineStr">
        <is>
          <t>Hard</t>
        </is>
      </c>
      <c r="C183" s="4" t="inlineStr">
        <is>
          <t>Basic Set Concepts (elements, subsets, types of sets)</t>
        </is>
      </c>
      <c r="D183" s="4" t="inlineStr">
        <is>
          <t>Let S be the set of all students in a class. Which of the following statements about the power set P(S) is true?</t>
        </is>
      </c>
      <c r="E183" s="4" t="inlineStr">
        <is>
          <t>P(S) has 2^n elements where n is the number of students</t>
        </is>
      </c>
      <c r="F183" s="4" t="inlineStr">
        <is>
          <t>P(S) contains only finite sets</t>
        </is>
      </c>
      <c r="G183" s="4" t="inlineStr">
        <is>
          <t>The set of all single-element subsets of S is equal to S</t>
        </is>
      </c>
      <c r="H183" s="4" t="inlineStr">
        <is>
          <t>P(S) is countably infinite</t>
        </is>
      </c>
      <c r="I183" s="5" t="inlineStr">
        <is>
          <t>D</t>
        </is>
      </c>
      <c r="J183" s="6" t="inlineStr">
        <is>
          <t>The power set of a set S contains all possible subsets, including the empty set and S itself.</t>
        </is>
      </c>
    </row>
    <row r="184" ht="42" customHeight="1">
      <c r="A184" s="2" t="n">
        <v>183</v>
      </c>
      <c r="B184" s="3" t="inlineStr">
        <is>
          <t>Hard</t>
        </is>
      </c>
      <c r="C184" s="4" t="inlineStr">
        <is>
          <t>Basic Set Concepts (elements, subsets, types of sets)</t>
        </is>
      </c>
      <c r="D184" s="4" t="inlineStr">
        <is>
          <t>If A = {1, 2, 3} and B = {2, 4}, which of the following is true about the relation between A and B?</t>
        </is>
      </c>
      <c r="E184" s="4" t="inlineStr">
        <is>
          <t>A is a proper subset of B</t>
        </is>
      </c>
      <c r="F184" s="4" t="inlineStr">
        <is>
          <t>B is a proper subset of A</t>
        </is>
      </c>
      <c r="G184" s="4" t="inlineStr">
        <is>
          <t>The two sets are equal</t>
        </is>
      </c>
      <c r="H184" s="4" t="inlineStr">
        <is>
          <t>A ∩ B has exactly one element</t>
        </is>
      </c>
      <c r="I184" s="5" t="inlineStr">
        <is>
          <t>C</t>
        </is>
      </c>
      <c r="J184" s="6" t="inlineStr">
        <is>
          <t>A is a proper subset of B because all elements in A are also in B.</t>
        </is>
      </c>
    </row>
    <row r="185" ht="42" customHeight="1">
      <c r="A185" s="2" t="n">
        <v>184</v>
      </c>
      <c r="B185" s="3" t="inlineStr">
        <is>
          <t>Hard</t>
        </is>
      </c>
      <c r="C185" s="4" t="inlineStr">
        <is>
          <t>Word Problems using Sets</t>
        </is>
      </c>
      <c r="D185" s="4" t="inlineStr">
        <is>
          <t>A bakery offers a discount on bulk orders. If buying 3 sets of cookies (each containing 5, 7, and 9 cookies) costs $120, how much would it cost to buy 2 sets?</t>
        </is>
      </c>
      <c r="E185" s="4" t="inlineStr">
        <is>
          <t>$80</t>
        </is>
      </c>
      <c r="F185" s="4" t="inlineStr">
        <is>
          <t>$90</t>
        </is>
      </c>
      <c r="G185" s="4" t="inlineStr">
        <is>
          <t>$100</t>
        </is>
      </c>
      <c r="H185" s="4" t="inlineStr">
        <is>
          <t>$110</t>
        </is>
      </c>
      <c r="I185" s="5" t="inlineStr">
        <is>
          <t>D</t>
        </is>
      </c>
      <c r="J185" s="6" t="inlineStr">
        <is>
          <t>Use the ratio of total cookies in one set to find the price of two sets.</t>
        </is>
      </c>
    </row>
    <row r="186" ht="42" customHeight="1">
      <c r="A186" s="2" t="n">
        <v>185</v>
      </c>
      <c r="B186" s="3" t="inlineStr">
        <is>
          <t>Hard</t>
        </is>
      </c>
      <c r="C186" s="4" t="inlineStr">
        <is>
          <t>Word Problems using Sets</t>
        </is>
      </c>
      <c r="D186" s="4" t="inlineStr">
        <is>
          <t>A company has three departments: A, B, and C. The number of employees in each department is proportional to the area they occupy. If department A occupies 1/4 of the total area and has 15 employees, how many employees are there in total?</t>
        </is>
      </c>
      <c r="E186" s="4" t="inlineStr">
        <is>
          <t>60</t>
        </is>
      </c>
      <c r="F186" s="4" t="inlineStr">
        <is>
          <t>$80</t>
        </is>
      </c>
      <c r="G186" s="4" t="inlineStr">
        <is>
          <t>$100</t>
        </is>
      </c>
      <c r="H186" s="4" t="inlineStr">
        <is>
          <t>$120</t>
        </is>
      </c>
      <c r="I186" s="5" t="inlineStr">
        <is>
          <t>C</t>
        </is>
      </c>
      <c r="J186" s="6" t="inlineStr">
        <is>
          <t>Use the ratio of areas to find the total number of employees.</t>
        </is>
      </c>
    </row>
    <row r="187" ht="42" customHeight="1">
      <c r="A187" s="2" t="n">
        <v>186</v>
      </c>
      <c r="B187" s="3" t="inlineStr">
        <is>
          <t>Hard</t>
        </is>
      </c>
      <c r="C187" s="4" t="inlineStr">
        <is>
          <t>Word Problems using Sets</t>
        </is>
      </c>
      <c r="D187" s="4" t="inlineStr">
        <is>
          <t>A library has three sections: fiction, non-fiction, and biographies. The number of books in each section is proportional to the time spent reading them. If 3 hours are spent on fiction books and there are 2/5 as many non-fiction books, how many hours are spent on biographies?</t>
        </is>
      </c>
      <c r="E187" s="4" t="inlineStr">
        <is>
          <t>4</t>
        </is>
      </c>
      <c r="F187" s="4" t="inlineStr">
        <is>
          <t>$6</t>
        </is>
      </c>
      <c r="G187" s="4" t="inlineStr">
        <is>
          <t>$8</t>
        </is>
      </c>
      <c r="H187" s="4" t="inlineStr">
        <is>
          <t>$10</t>
        </is>
      </c>
      <c r="I187" s="5" t="inlineStr">
        <is>
          <t>B</t>
        </is>
      </c>
      <c r="J187" s="6" t="inlineStr">
        <is>
          <t>Use the ratio of book numbers to find the time spent on biographies.</t>
        </is>
      </c>
    </row>
    <row r="188" ht="42" customHeight="1">
      <c r="A188" s="2" t="n">
        <v>187</v>
      </c>
      <c r="B188" s="3" t="inlineStr">
        <is>
          <t>Hard</t>
        </is>
      </c>
      <c r="C188" s="4" t="inlineStr">
        <is>
          <t>Word Problems using Sets</t>
        </is>
      </c>
      <c r="D188" s="4" t="inlineStr">
        <is>
          <t>A school has three clubs: music, drama, and debate. The number of students in each club is proportional to the points earned by the club. If the music club earns 120 points and there are 3/5 as many students in the drama club, how many points does the debate club earn?</t>
        </is>
      </c>
      <c r="E188" s="4" t="inlineStr">
        <is>
          <t>60</t>
        </is>
      </c>
      <c r="F188" s="4" t="inlineStr">
        <is>
          <t>$80</t>
        </is>
      </c>
      <c r="G188" s="4" t="inlineStr">
        <is>
          <t>$100</t>
        </is>
      </c>
      <c r="H188" s="4" t="inlineStr">
        <is>
          <t>$120</t>
        </is>
      </c>
      <c r="I188" s="5" t="inlineStr">
        <is>
          <t>D</t>
        </is>
      </c>
      <c r="J188" s="6" t="inlineStr">
        <is>
          <t>Use the ratio of student numbers to find the points earned by the debate club.</t>
        </is>
      </c>
    </row>
    <row r="189" ht="42" customHeight="1">
      <c r="A189" s="7" t="n">
        <v>188</v>
      </c>
      <c r="B189" s="8" t="inlineStr">
        <is>
          <t>Easy</t>
        </is>
      </c>
      <c r="C189" s="9" t="inlineStr">
        <is>
          <t>Word Problems using Sets</t>
        </is>
      </c>
      <c r="D189" s="9" t="inlineStr">
        <is>
          <t>A bakery offers two types of cookies, chocolate and vanilla. If 1/3 of the cookies sold are chocolate and 2/5 of the cookies sold are vanilla, what fraction of the total cookies sold are neither chocolate nor vanilla?</t>
        </is>
      </c>
      <c r="E189" s="9" t="inlineStr">
        <is>
          <t>0</t>
        </is>
      </c>
      <c r="F189" s="9" t="inlineStr">
        <is>
          <t>1/15</t>
        </is>
      </c>
      <c r="G189" s="9" t="inlineStr">
        <is>
          <t>1/6</t>
        </is>
      </c>
      <c r="H189" s="9" t="inlineStr">
        <is>
          <t>2/3</t>
        </is>
      </c>
      <c r="I189" s="10" t="inlineStr">
        <is>
          <t>D</t>
        </is>
      </c>
      <c r="J189" s="11" t="inlineStr">
        <is>
          <t>Find the complement set of chocolate and vanilla cookies.</t>
        </is>
      </c>
    </row>
    <row r="190" ht="42" customHeight="1">
      <c r="A190" s="7" t="n">
        <v>189</v>
      </c>
      <c r="B190" s="8" t="inlineStr">
        <is>
          <t>Easy</t>
        </is>
      </c>
      <c r="C190" s="9" t="inlineStr">
        <is>
          <t>Word Problems using Sets</t>
        </is>
      </c>
      <c r="D190" s="9" t="inlineStr">
        <is>
          <t>A student has a collection of 12 books. If 4 of them are novels, 5 are biographies, and the rest are textbooks, how many textbooks does the student have?</t>
        </is>
      </c>
      <c r="E190" s="9" t="inlineStr">
        <is>
          <t>0</t>
        </is>
      </c>
      <c r="F190" s="9" t="inlineStr">
        <is>
          <t>2</t>
        </is>
      </c>
      <c r="G190" s="9" t="inlineStr">
        <is>
          <t>3</t>
        </is>
      </c>
      <c r="H190" s="9" t="inlineStr">
        <is>
          <t>7</t>
        </is>
      </c>
      <c r="I190" s="10" t="inlineStr">
        <is>
          <t>C</t>
        </is>
      </c>
      <c r="J190" s="11" t="inlineStr">
        <is>
          <t>Find the difference between sets of novel and biography books.</t>
        </is>
      </c>
    </row>
    <row r="191" ht="42" customHeight="1">
      <c r="A191" s="7" t="n">
        <v>190</v>
      </c>
      <c r="B191" s="8" t="inlineStr">
        <is>
          <t>Easy</t>
        </is>
      </c>
      <c r="C191" s="9" t="inlineStr">
        <is>
          <t>Word Problems using Sets</t>
        </is>
      </c>
      <c r="D191" s="9" t="inlineStr">
        <is>
          <t>A company has two departments: A and B. If 1/4 of the employees work in department A and 3/8 of the employees work in department B, what fraction of the total employees work in neither department A nor department B?</t>
        </is>
      </c>
      <c r="E191" s="9" t="inlineStr">
        <is>
          <t>0</t>
        </is>
      </c>
      <c r="F191" s="9" t="inlineStr">
        <is>
          <t>1/2</t>
        </is>
      </c>
      <c r="G191" s="9" t="inlineStr">
        <is>
          <t>3/8</t>
        </is>
      </c>
      <c r="H191" s="9" t="inlineStr">
        <is>
          <t>7/12</t>
        </is>
      </c>
      <c r="I191" s="10" t="inlineStr">
        <is>
          <t>A</t>
        </is>
      </c>
      <c r="J191" s="11" t="inlineStr">
        <is>
          <t>Find the complement set of departments A and B.</t>
        </is>
      </c>
    </row>
    <row r="192" ht="42" customHeight="1">
      <c r="A192" s="7" t="n">
        <v>191</v>
      </c>
      <c r="B192" s="8" t="inlineStr">
        <is>
          <t>Easy</t>
        </is>
      </c>
      <c r="C192" s="9" t="inlineStr">
        <is>
          <t>Word Problems using Sets</t>
        </is>
      </c>
      <c r="D192" s="9" t="inlineStr">
        <is>
          <t>A library has two sections: fiction and non-fiction. If 2/5 of the books are fiction and 3/10 of the books are non-fiction, what fraction of the total books are neither fiction nor non-fiction?</t>
        </is>
      </c>
      <c r="E192" s="9" t="inlineStr">
        <is>
          <t>0</t>
        </is>
      </c>
      <c r="F192" s="9" t="inlineStr">
        <is>
          <t>1/5</t>
        </is>
      </c>
      <c r="G192" s="9" t="inlineStr">
        <is>
          <t>1/4</t>
        </is>
      </c>
      <c r="H192" s="9" t="inlineStr">
        <is>
          <t>7/20</t>
        </is>
      </c>
      <c r="I192" s="10" t="inlineStr">
        <is>
          <t>B</t>
        </is>
      </c>
      <c r="J192" s="11" t="inlineStr">
        <is>
          <t>Find the complement set of fiction and non-fiction books.</t>
        </is>
      </c>
    </row>
    <row r="193" ht="42" customHeight="1">
      <c r="A193" s="2" t="n">
        <v>192</v>
      </c>
      <c r="B193" s="3" t="inlineStr">
        <is>
          <t>Hard</t>
        </is>
      </c>
      <c r="C193" s="4" t="inlineStr">
        <is>
          <t>Cardinality of Sets</t>
        </is>
      </c>
      <c r="D193" s="4" t="inlineStr">
        <is>
          <t>Let A and B be infinite sets. If</t>
        </is>
      </c>
      <c r="E193" s="4" t="inlineStr">
        <is>
          <t>A ∪ B</t>
        </is>
      </c>
      <c r="F193" s="4" t="inlineStr">
        <is>
          <t>=</t>
        </is>
      </c>
      <c r="G193" s="4" t="inlineStr">
        <is>
          <t>A</t>
        </is>
      </c>
      <c r="H193" s="4" t="inlineStr">
        <is>
          <t>+</t>
        </is>
      </c>
      <c r="I193" s="5" t="inlineStr">
        <is>
          <t>B</t>
        </is>
      </c>
      <c r="J193" s="6" t="inlineStr">
        <is>
          <t>-</t>
        </is>
      </c>
    </row>
    <row r="194" ht="42" customHeight="1">
      <c r="A194" s="2" t="n">
        <v>193</v>
      </c>
      <c r="B194" s="3" t="inlineStr">
        <is>
          <t>Hard</t>
        </is>
      </c>
      <c r="C194" s="4" t="inlineStr">
        <is>
          <t>Cardinality of Sets</t>
        </is>
      </c>
      <c r="D194" s="4" t="inlineStr">
        <is>
          <t>Let A and B be sets such that</t>
        </is>
      </c>
      <c r="E194" s="4" t="inlineStr">
        <is>
          <t>A</t>
        </is>
      </c>
      <c r="F194" s="4" t="inlineStr">
        <is>
          <t>=</t>
        </is>
      </c>
      <c r="G194" s="4" t="inlineStr">
        <is>
          <t>B</t>
        </is>
      </c>
      <c r="H194" s="4">
        <f> ℵ0. What is the cardinality of the set of all bijections from A to B?</f>
        <v/>
      </c>
      <c r="I194" s="5" t="inlineStr">
        <is>
          <t>A</t>
        </is>
      </c>
      <c r="J194" s="6" t="inlineStr">
        <is>
          <t>B) 2ℵ0</t>
        </is>
      </c>
    </row>
    <row r="195" ht="42" customHeight="1">
      <c r="A195" s="7" t="n">
        <v>194</v>
      </c>
      <c r="B195" s="8" t="inlineStr">
        <is>
          <t>Easy</t>
        </is>
      </c>
      <c r="C195" s="9" t="inlineStr">
        <is>
          <t>Venn Diagram Problems (3 sets)</t>
        </is>
      </c>
      <c r="D195" s="9" t="inlineStr">
        <is>
          <t>Let U be the universal set, A and B be two sets. If</t>
        </is>
      </c>
      <c r="E195" s="9" t="inlineStr">
        <is>
          <t>A ∩ B</t>
        </is>
      </c>
      <c r="F195" s="9">
        <f> 5,</f>
        <v/>
      </c>
      <c r="G195" s="9" t="inlineStr">
        <is>
          <t>A</t>
        </is>
      </c>
      <c r="H195" s="9">
        <f> 10, and</f>
        <v/>
      </c>
      <c r="I195" s="10" t="inlineStr">
        <is>
          <t>B</t>
        </is>
      </c>
      <c r="J195" s="11">
        <f> 8, find</f>
        <v/>
      </c>
    </row>
    <row r="196" ht="42" customHeight="1">
      <c r="A196" s="7" t="n">
        <v>195</v>
      </c>
      <c r="B196" s="8" t="inlineStr">
        <is>
          <t>Easy</t>
        </is>
      </c>
      <c r="C196" s="9" t="inlineStr">
        <is>
          <t>Venn Diagram Problems (3 sets)</t>
        </is>
      </c>
      <c r="D196" s="9" t="inlineStr">
        <is>
          <t>If A and B are two sets such that</t>
        </is>
      </c>
      <c r="E196" s="9" t="inlineStr">
        <is>
          <t>A ∪ B</t>
        </is>
      </c>
      <c r="F196" s="9">
        <f> 12,</f>
        <v/>
      </c>
      <c r="G196" s="9" t="inlineStr">
        <is>
          <t>A</t>
        </is>
      </c>
      <c r="H196" s="9">
        <f> 7, and</f>
        <v/>
      </c>
      <c r="I196" s="10" t="inlineStr">
        <is>
          <t>B</t>
        </is>
      </c>
      <c r="J196" s="11">
        <f> 9, find</f>
        <v/>
      </c>
    </row>
    <row r="197" ht="42" customHeight="1">
      <c r="A197" s="7" t="n">
        <v>196</v>
      </c>
      <c r="B197" s="8" t="inlineStr">
        <is>
          <t>Easy</t>
        </is>
      </c>
      <c r="C197" s="9" t="inlineStr">
        <is>
          <t>Venn Diagram Problems (3 sets)</t>
        </is>
      </c>
      <c r="D197" s="9" t="inlineStr">
        <is>
          <t>Let A, B, and C be three sets. If</t>
        </is>
      </c>
      <c r="E197" s="9" t="inlineStr">
        <is>
          <t>A ∪ B ∪ C</t>
        </is>
      </c>
      <c r="F197" s="9">
        <f> 15,</f>
        <v/>
      </c>
      <c r="G197" s="9" t="inlineStr">
        <is>
          <t>A ∩ B</t>
        </is>
      </c>
      <c r="H197" s="9">
        <f> 2, and</f>
        <v/>
      </c>
      <c r="I197" s="10" t="inlineStr">
        <is>
          <t>B</t>
        </is>
      </c>
      <c r="J197" s="11">
        <f> 5, find</f>
        <v/>
      </c>
    </row>
    <row r="198" ht="42" customHeight="1">
      <c r="A198" s="7" t="n">
        <v>197</v>
      </c>
      <c r="B198" s="8" t="inlineStr">
        <is>
          <t>Easy</t>
        </is>
      </c>
      <c r="C198" s="9" t="inlineStr">
        <is>
          <t>Set Identities and Properties</t>
        </is>
      </c>
      <c r="D198" s="9" t="inlineStr">
        <is>
          <t>Let U be the universal set. If A ∩ B = {x} and A ∪ B = U, then what is A?</t>
        </is>
      </c>
      <c r="E198" s="9" t="inlineStr">
        <is>
          <t>A = {x}</t>
        </is>
      </c>
      <c r="F198" s="9" t="inlineStr">
        <is>
          <t>B = {x}</t>
        </is>
      </c>
      <c r="G198" s="9" t="inlineStr">
        <is>
          <t>U - {x} = A</t>
        </is>
      </c>
      <c r="H198" s="9" t="inlineStr">
        <is>
          <t>{x} = A</t>
        </is>
      </c>
      <c r="I198" s="10" t="inlineStr">
        <is>
          <t>A</t>
        </is>
      </c>
      <c r="J198" s="11" t="inlineStr">
        <is>
          <t>A is the only possible solution.</t>
        </is>
      </c>
    </row>
    <row r="199" ht="42" customHeight="1">
      <c r="A199" s="7" t="n">
        <v>198</v>
      </c>
      <c r="B199" s="8" t="inlineStr">
        <is>
          <t>Easy</t>
        </is>
      </c>
      <c r="C199" s="9" t="inlineStr">
        <is>
          <t>Venn Diagram Problems (2 sets)</t>
        </is>
      </c>
      <c r="D199" s="9" t="inlineStr">
        <is>
          <t>Set A has 10 elements, set B has 5 elements. What is the maximum possible number of elements in their intersection?</t>
        </is>
      </c>
      <c r="E199" s="9" t="inlineStr">
        <is>
          <t>A) 0</t>
        </is>
      </c>
      <c r="F199" s="9" t="inlineStr">
        <is>
          <t>B) 3</t>
        </is>
      </c>
      <c r="G199" s="9" t="inlineStr">
        <is>
          <t>C) 5</t>
        </is>
      </c>
      <c r="H199" s="9" t="inlineStr">
        <is>
          <t>D) 10</t>
        </is>
      </c>
      <c r="I199" s="10" t="inlineStr">
        <is>
          <t>C</t>
        </is>
      </c>
      <c r="J199" s="11" t="inlineStr">
        <is>
          <t>The maximum possible number of elements in the intersection occurs when all elements of set B are also in set A.</t>
        </is>
      </c>
    </row>
    <row r="200" ht="42" customHeight="1">
      <c r="A200" s="7" t="n">
        <v>199</v>
      </c>
      <c r="B200" s="8" t="inlineStr">
        <is>
          <t>Easy</t>
        </is>
      </c>
      <c r="C200" s="9" t="inlineStr">
        <is>
          <t>Venn Diagram Problems (2 sets)</t>
        </is>
      </c>
      <c r="D200" s="9" t="inlineStr">
        <is>
          <t>Sets P and Q have 8 and 12 elements respectively. What is the minimum possible number of elements in their union?</t>
        </is>
      </c>
      <c r="E200" s="9" t="inlineStr">
        <is>
          <t>A) 10</t>
        </is>
      </c>
      <c r="F200" s="9" t="inlineStr">
        <is>
          <t>B) 14</t>
        </is>
      </c>
      <c r="G200" s="9" t="inlineStr">
        <is>
          <t>C) 16</t>
        </is>
      </c>
      <c r="H200" s="9" t="inlineStr">
        <is>
          <t>D) 20</t>
        </is>
      </c>
      <c r="I200" s="10" t="inlineStr">
        <is>
          <t>B</t>
        </is>
      </c>
      <c r="J200" s="11" t="inlineStr">
        <is>
          <t>The minimum possible number of elements in the union occurs when all elements of set P are distinct from those of set Q.</t>
        </is>
      </c>
    </row>
    <row r="201" ht="42" customHeight="1">
      <c r="A201" s="7" t="n">
        <v>200</v>
      </c>
      <c r="B201" s="8" t="inlineStr">
        <is>
          <t>Easy</t>
        </is>
      </c>
      <c r="C201" s="9" t="inlineStr">
        <is>
          <t>Venn Diagram Problems (2 sets)</t>
        </is>
      </c>
      <c r="D201" s="9" t="inlineStr">
        <is>
          <t>Sets R and S have 4 and 6 elements respectively. What is the maximum possible number of elements in their difference?</t>
        </is>
      </c>
      <c r="E201" s="9" t="inlineStr">
        <is>
          <t>A) 0</t>
        </is>
      </c>
      <c r="F201" s="9" t="inlineStr">
        <is>
          <t>B) 1</t>
        </is>
      </c>
      <c r="G201" s="9" t="inlineStr">
        <is>
          <t>C) 2</t>
        </is>
      </c>
      <c r="H201" s="9" t="inlineStr">
        <is>
          <t>D) 3</t>
        </is>
      </c>
      <c r="I201" s="10" t="inlineStr">
        <is>
          <t>C</t>
        </is>
      </c>
      <c r="J201" s="11" t="inlineStr">
        <is>
          <t>The maximum possible number of elements in the difference occurs when all elements of set S are not in set R.</t>
        </is>
      </c>
    </row>
    <row r="202" ht="42" customHeight="1">
      <c r="A202" s="7" t="n">
        <v>201</v>
      </c>
      <c r="B202" s="8" t="inlineStr">
        <is>
          <t>Easy</t>
        </is>
      </c>
      <c r="C202" s="9" t="inlineStr">
        <is>
          <t>Venn Diagram Problems (2 sets)</t>
        </is>
      </c>
      <c r="D202" s="9" t="inlineStr">
        <is>
          <t>Sets T and U have 6 and 8 elements respectively. What is the minimum possible number of elements in their complement?</t>
        </is>
      </c>
      <c r="E202" s="9" t="inlineStr">
        <is>
          <t>A) 0</t>
        </is>
      </c>
      <c r="F202" s="9" t="inlineStr">
        <is>
          <t>B) 4</t>
        </is>
      </c>
      <c r="G202" s="9" t="inlineStr">
        <is>
          <t>C) 10</t>
        </is>
      </c>
      <c r="H202" s="9" t="inlineStr">
        <is>
          <t>D) 14</t>
        </is>
      </c>
      <c r="I202" s="10" t="inlineStr">
        <is>
          <t>C</t>
        </is>
      </c>
      <c r="J202" s="11" t="inlineStr">
        <is>
          <t>The minimum possible number of elements in the complement occurs when all elements are in either set T or set U.</t>
        </is>
      </c>
    </row>
    <row r="203" ht="42" customHeight="1">
      <c r="A203" s="12" t="n">
        <v>202</v>
      </c>
      <c r="B203" s="13" t="inlineStr">
        <is>
          <t>Medium</t>
        </is>
      </c>
      <c r="C203" s="14" t="inlineStr">
        <is>
          <t>Cardinality of Sets</t>
        </is>
      </c>
      <c r="D203" s="14" t="inlineStr">
        <is>
          <t>Let A and B be finite sets. If</t>
        </is>
      </c>
      <c r="E203" s="14" t="inlineStr">
        <is>
          <t>A</t>
        </is>
      </c>
      <c r="F203" s="14">
        <f> 5 and</f>
        <v/>
      </c>
      <c r="G203" s="14" t="inlineStr">
        <is>
          <t>B</t>
        </is>
      </c>
      <c r="H203" s="14">
        <f> 3, which of the following is true?</f>
        <v/>
      </c>
      <c r="I203" s="15" t="inlineStr">
        <is>
          <t>A</t>
        </is>
      </c>
      <c r="J203" s="16" t="inlineStr">
        <is>
          <t>A ∪ B</t>
        </is>
      </c>
    </row>
    <row r="204" ht="42" customHeight="1">
      <c r="A204" s="12" t="n">
        <v>203</v>
      </c>
      <c r="B204" s="13" t="inlineStr">
        <is>
          <t>Medium</t>
        </is>
      </c>
      <c r="C204" s="14" t="inlineStr">
        <is>
          <t>Cardinality of Sets</t>
        </is>
      </c>
      <c r="D204" s="14" t="inlineStr">
        <is>
          <t>If A and B are sets such that</t>
        </is>
      </c>
      <c r="E204" s="14" t="inlineStr">
        <is>
          <t>A</t>
        </is>
      </c>
      <c r="F204" s="14">
        <f> 2n and</f>
        <v/>
      </c>
      <c r="G204" s="14" t="inlineStr">
        <is>
          <t>B</t>
        </is>
      </c>
      <c r="H204" s="14">
        <f> n, where n is a positive integer, what can be concluded about</f>
        <v/>
      </c>
      <c r="I204" s="15" t="inlineStr">
        <is>
          <t>A</t>
        </is>
      </c>
      <c r="J204" s="16" t="inlineStr">
        <is>
          <t>A)</t>
        </is>
      </c>
    </row>
    <row r="205" ht="42" customHeight="1">
      <c r="A205" s="12" t="n">
        <v>204</v>
      </c>
      <c r="B205" s="13" t="inlineStr">
        <is>
          <t>Medium</t>
        </is>
      </c>
      <c r="C205" s="14" t="inlineStr">
        <is>
          <t>Cardinality of Sets</t>
        </is>
      </c>
      <c r="D205" s="14" t="inlineStr">
        <is>
          <t>If A, B, and C are sets such that</t>
        </is>
      </c>
      <c r="E205" s="14" t="inlineStr">
        <is>
          <t>A</t>
        </is>
      </c>
      <c r="F205" s="14">
        <f> 2n,</f>
        <v/>
      </c>
      <c r="G205" s="14" t="inlineStr">
        <is>
          <t>B</t>
        </is>
      </c>
      <c r="H205" s="14">
        <f> n, and</f>
        <v/>
      </c>
      <c r="I205" s="15" t="inlineStr">
        <is>
          <t>C</t>
        </is>
      </c>
      <c r="J205" s="16">
        <f> m, where n and m are positive integers, what can be concluded about</f>
        <v/>
      </c>
    </row>
    <row r="206" ht="42" customHeight="1">
      <c r="A206" s="12" t="n">
        <v>205</v>
      </c>
      <c r="B206" s="13" t="inlineStr">
        <is>
          <t>Medium</t>
        </is>
      </c>
      <c r="C206" s="14" t="inlineStr">
        <is>
          <t>Venn Diagram Problems (3 sets)</t>
        </is>
      </c>
      <c r="D206" s="14" t="inlineStr">
        <is>
          <t>In a survey, 30% of respondents like coffee, 40% like tea, and 20% like both. Find the number of people who like only one beverage.</t>
        </is>
      </c>
      <c r="E206" s="14" t="inlineStr">
        <is>
          <t>60</t>
        </is>
      </c>
      <c r="F206" s="14" t="inlineStr">
        <is>
          <t>70</t>
        </is>
      </c>
      <c r="G206" s="14" t="inlineStr">
        <is>
          <t>80</t>
        </is>
      </c>
      <c r="H206" s="14" t="inlineStr">
        <is>
          <t>90</t>
        </is>
      </c>
      <c r="I206" s="15" t="inlineStr">
        <is>
          <t>A</t>
        </is>
      </c>
      <c r="J206" s="16" t="inlineStr">
        <is>
          <t>Use Venn diagram to represent sets and find union.</t>
        </is>
      </c>
    </row>
    <row r="207" ht="42" customHeight="1">
      <c r="A207" s="12" t="n">
        <v>206</v>
      </c>
      <c r="B207" s="13" t="inlineStr">
        <is>
          <t>Medium</t>
        </is>
      </c>
      <c r="C207" s="14" t="inlineStr">
        <is>
          <t>Venn Diagram Problems (3 sets)</t>
        </is>
      </c>
      <c r="D207" s="14" t="inlineStr">
        <is>
          <t>In a class, 20 students like reading, 15 students like writing, and 5 students like both. Find the number of students who like at least one activity.</t>
        </is>
      </c>
      <c r="E207" s="14" t="inlineStr">
        <is>
          <t>35</t>
        </is>
      </c>
      <c r="F207" s="14" t="inlineStr">
        <is>
          <t>40</t>
        </is>
      </c>
      <c r="G207" s="14" t="inlineStr">
        <is>
          <t>45</t>
        </is>
      </c>
      <c r="H207" s="14" t="inlineStr">
        <is>
          <t>50</t>
        </is>
      </c>
      <c r="I207" s="15" t="inlineStr">
        <is>
          <t>A</t>
        </is>
      </c>
      <c r="J207" s="16" t="inlineStr">
        <is>
          <t>Use Venn diagram to represent sets and find union.</t>
        </is>
      </c>
    </row>
    <row r="208" ht="42" customHeight="1">
      <c r="A208" s="12" t="n">
        <v>207</v>
      </c>
      <c r="B208" s="13" t="inlineStr">
        <is>
          <t>Medium</t>
        </is>
      </c>
      <c r="C208" s="14" t="inlineStr">
        <is>
          <t>Operations on Sets (union, intersection, difference)</t>
        </is>
      </c>
      <c r="D208" s="14" t="inlineStr">
        <is>
          <t>Let U = {1, 2, 3, 4} and A = {1, 3}. Find A ∩ U.</t>
        </is>
      </c>
      <c r="E208" s="14" t="inlineStr">
        <is>
          <t>{1, 3}</t>
        </is>
      </c>
      <c r="F208" s="14" t="inlineStr">
        <is>
          <t>{1, 2, 3}</t>
        </is>
      </c>
      <c r="G208" s="14" t="inlineStr">
        <is>
          <t>{1, 2, 3, 4}</t>
        </is>
      </c>
      <c r="H208" s="14" t="inlineStr">
        <is>
          <t>{1, 3, 4}</t>
        </is>
      </c>
      <c r="I208" s="15" t="inlineStr">
        <is>
          <t>A</t>
        </is>
      </c>
      <c r="J208" s="16" t="inlineStr">
        <is>
          <t>The intersection of sets is the set of elements common to both sets.</t>
        </is>
      </c>
    </row>
    <row r="209" ht="42" customHeight="1">
      <c r="A209" s="12" t="n">
        <v>208</v>
      </c>
      <c r="B209" s="13" t="inlineStr">
        <is>
          <t>Medium</t>
        </is>
      </c>
      <c r="C209" s="14" t="inlineStr">
        <is>
          <t>Operations on Sets (union, intersection, difference)</t>
        </is>
      </c>
      <c r="D209" s="14" t="inlineStr">
        <is>
          <t>If A ∪ B = {1, 2, 3, 4, 5} and A ∩ B = {1, 2}, find B.</t>
        </is>
      </c>
      <c r="E209" s="14" t="inlineStr">
        <is>
          <t>{1, 2, 3, 4, 5}</t>
        </is>
      </c>
      <c r="F209" s="14" t="inlineStr">
        <is>
          <t>{1, 2, 3, 4, 5, 6}</t>
        </is>
      </c>
      <c r="G209" s="14" t="inlineStr">
        <is>
          <t>{1, 2, 3, 4, 5, 6, 7}</t>
        </is>
      </c>
      <c r="H209" s="14" t="inlineStr">
        <is>
          <t>{1, 2, 3, 4, 5, 6, 7, 8}</t>
        </is>
      </c>
      <c r="I209" s="15" t="inlineStr">
        <is>
          <t>D</t>
        </is>
      </c>
      <c r="J209" s="16" t="inlineStr">
        <is>
          <t>Find the difference of sets to get B.</t>
        </is>
      </c>
    </row>
    <row r="210" ht="42" customHeight="1">
      <c r="A210" s="12" t="n">
        <v>209</v>
      </c>
      <c r="B210" s="13" t="inlineStr">
        <is>
          <t>Medium</t>
        </is>
      </c>
      <c r="C210" s="14" t="inlineStr">
        <is>
          <t>Operations on Sets (union, intersection, difference)</t>
        </is>
      </c>
      <c r="D210" s="14" t="inlineStr">
        <is>
          <t>If A = {1, 2, 3} and B = {2, 3, 4}, find A ∪ B - (A ∩ B).</t>
        </is>
      </c>
      <c r="E210" s="14" t="inlineStr">
        <is>
          <t>{1, 2, 3, 4}</t>
        </is>
      </c>
      <c r="F210" s="14" t="inlineStr">
        <is>
          <t>{1, 2, 3, 5}</t>
        </is>
      </c>
      <c r="G210" s="14" t="inlineStr">
        <is>
          <t>{1, 2, 3, 4, 5, 6}</t>
        </is>
      </c>
      <c r="H210" s="14" t="inlineStr">
        <is>
          <t>{1, 2, 3, 4, 5, 6, 7}</t>
        </is>
      </c>
      <c r="I210" s="15" t="inlineStr">
        <is>
          <t>D</t>
        </is>
      </c>
      <c r="J210" s="16" t="inlineStr">
        <is>
          <t>Find the union and intersection of sets to get the required result.</t>
        </is>
      </c>
    </row>
    <row r="211" ht="42" customHeight="1">
      <c r="A211" s="12" t="n">
        <v>210</v>
      </c>
      <c r="B211" s="13" t="inlineStr">
        <is>
          <t>Medium</t>
        </is>
      </c>
      <c r="C211" s="14" t="inlineStr">
        <is>
          <t>Complement of Sets</t>
        </is>
      </c>
      <c r="D211" s="14" t="inlineStr">
        <is>
          <t>If A and B are subsets of a universal set U such that</t>
        </is>
      </c>
      <c r="E211" s="14" t="inlineStr">
        <is>
          <t>A</t>
        </is>
      </c>
      <c r="F211" s="14">
        <f> 15,</f>
        <v/>
      </c>
      <c r="G211" s="14" t="inlineStr">
        <is>
          <t>B</t>
        </is>
      </c>
      <c r="H211" s="14">
        <f> 20, and</f>
        <v/>
      </c>
      <c r="I211" s="15" t="inlineStr">
        <is>
          <t>A</t>
        </is>
      </c>
      <c r="J211" s="16">
        <f> 5, find</f>
        <v/>
      </c>
    </row>
    <row r="212" ht="42" customHeight="1">
      <c r="A212" s="2" t="n">
        <v>211</v>
      </c>
      <c r="B212" s="3" t="inlineStr">
        <is>
          <t>Hard</t>
        </is>
      </c>
      <c r="C212" s="4" t="inlineStr">
        <is>
          <t>Venn Diagram Problems (2 sets)</t>
        </is>
      </c>
      <c r="D212" s="4" t="inlineStr">
        <is>
          <t>Let U be the universal set, A and B be two sets such that</t>
        </is>
      </c>
      <c r="E212" s="4" t="inlineStr">
        <is>
          <t>A ∩ B</t>
        </is>
      </c>
      <c r="F212" s="4">
        <f> 5,</f>
        <v/>
      </c>
      <c r="G212" s="4" t="inlineStr">
        <is>
          <t>A c</t>
        </is>
      </c>
      <c r="H212" s="4">
        <f> 10, and</f>
        <v/>
      </c>
      <c r="I212" s="5" t="inlineStr">
        <is>
          <t>B</t>
        </is>
      </c>
      <c r="J212" s="6">
        <f> 7. Find</f>
        <v/>
      </c>
    </row>
    <row r="213" ht="42" customHeight="1">
      <c r="A213" s="2" t="n">
        <v>212</v>
      </c>
      <c r="B213" s="3" t="inlineStr">
        <is>
          <t>Hard</t>
        </is>
      </c>
      <c r="C213" s="4" t="inlineStr">
        <is>
          <t>Venn Diagram Problems (2 sets)</t>
        </is>
      </c>
      <c r="D213" s="4" t="inlineStr">
        <is>
          <t>In a Venn diagram, let A and B be two non-empty sets such that</t>
        </is>
      </c>
      <c r="E213" s="4" t="inlineStr">
        <is>
          <t>A ∪ B</t>
        </is>
      </c>
      <c r="F213" s="4">
        <f> 12,</f>
        <v/>
      </c>
      <c r="G213" s="4" t="inlineStr">
        <is>
          <t>A c</t>
        </is>
      </c>
      <c r="H213" s="4">
        <f> 4, and</f>
        <v/>
      </c>
      <c r="I213" s="5" t="inlineStr">
        <is>
          <t>B</t>
        </is>
      </c>
      <c r="J213" s="6">
        <f> 5. Find</f>
        <v/>
      </c>
    </row>
    <row r="214" ht="42" customHeight="1">
      <c r="A214" s="12" t="n">
        <v>213</v>
      </c>
      <c r="B214" s="13" t="inlineStr">
        <is>
          <t>Medium</t>
        </is>
      </c>
      <c r="C214" s="14" t="inlineStr">
        <is>
          <t>Basic Set Concepts (elements, subsets, types of sets)</t>
        </is>
      </c>
      <c r="D214" s="14" t="inlineStr">
        <is>
          <t>Let U be the universal set containing all integers. Which of the following is a subset of U?</t>
        </is>
      </c>
      <c r="E214" s="14" t="inlineStr">
        <is>
          <t>All prime numbers</t>
        </is>
      </c>
      <c r="F214" s="14" t="inlineStr">
        <is>
          <t>All even numbers</t>
        </is>
      </c>
      <c r="G214" s="14" t="inlineStr">
        <is>
          <t>All odd numbers</t>
        </is>
      </c>
      <c r="H214" s="14" t="inlineStr">
        <is>
          <t>All rational numbers</t>
        </is>
      </c>
      <c r="I214" s="15" t="inlineStr">
        <is>
          <t>A</t>
        </is>
      </c>
      <c r="J214" s="16" t="inlineStr">
        <is>
          <t>The correct answer is All integers.</t>
        </is>
      </c>
    </row>
    <row r="215" ht="42" customHeight="1">
      <c r="A215" s="12" t="n">
        <v>214</v>
      </c>
      <c r="B215" s="13" t="inlineStr">
        <is>
          <t>Medium</t>
        </is>
      </c>
      <c r="C215" s="14" t="inlineStr">
        <is>
          <t>Basic Set Concepts (elements, subsets, types of sets)</t>
        </is>
      </c>
      <c r="D215" s="14" t="inlineStr">
        <is>
          <t>If A and B are two sets such that A ∩ B = {x}, then which of the following statements is true?</t>
        </is>
      </c>
      <c r="E215" s="14" t="inlineStr">
        <is>
          <t>A ⊆ B</t>
        </is>
      </c>
      <c r="F215" s="14" t="inlineStr">
        <is>
          <t>B ⊆ A</t>
        </is>
      </c>
      <c r="G215" s="14" t="inlineStr">
        <is>
          <t>A = B</t>
        </is>
      </c>
      <c r="H215" s="14" t="inlineStr">
        <is>
          <t>A ∩ B = φ</t>
        </is>
      </c>
      <c r="I215" s="15" t="inlineStr">
        <is>
          <t>D</t>
        </is>
      </c>
      <c r="J215" s="16" t="inlineStr">
        <is>
          <t>The correct answer is A ∩ B = φ.</t>
        </is>
      </c>
    </row>
    <row r="216" ht="42" customHeight="1">
      <c r="A216" s="12" t="n">
        <v>215</v>
      </c>
      <c r="B216" s="13" t="inlineStr">
        <is>
          <t>Medium</t>
        </is>
      </c>
      <c r="C216" s="14" t="inlineStr">
        <is>
          <t>Basic Set Concepts (elements, subsets, types of sets)</t>
        </is>
      </c>
      <c r="D216" s="14" t="inlineStr">
        <is>
          <t>Let S be a set containing all students in a class. Which of the following statements is true?</t>
        </is>
      </c>
      <c r="E216" s="14" t="inlineStr">
        <is>
          <t>S is finite</t>
        </is>
      </c>
      <c r="F216" s="14" t="inlineStr">
        <is>
          <t>S is infinite</t>
        </is>
      </c>
      <c r="G216" s="14" t="inlineStr">
        <is>
          <t>S is countable</t>
        </is>
      </c>
      <c r="H216" s="14" t="inlineStr">
        <is>
          <t>S is uncountable</t>
        </is>
      </c>
      <c r="I216" s="15" t="inlineStr">
        <is>
          <t>C</t>
        </is>
      </c>
      <c r="J216" s="16" t="inlineStr">
        <is>
          <t>The correct answer is S is countable.</t>
        </is>
      </c>
    </row>
    <row r="217" ht="42" customHeight="1">
      <c r="A217" s="12" t="n">
        <v>216</v>
      </c>
      <c r="B217" s="13" t="inlineStr">
        <is>
          <t>Medium</t>
        </is>
      </c>
      <c r="C217" s="14" t="inlineStr">
        <is>
          <t>Basic Set Concepts (elements, subsets, types of sets)</t>
        </is>
      </c>
      <c r="D217" s="14" t="inlineStr">
        <is>
          <t>If A and B are two sets such that A ⊆ B, then which of the following statements is true?</t>
        </is>
      </c>
      <c r="E217" s="14" t="inlineStr">
        <is>
          <t>A ∩ B = φ</t>
        </is>
      </c>
      <c r="F217" s="14" t="inlineStr">
        <is>
          <t>A ∪ B = U</t>
        </is>
      </c>
      <c r="G217" s="14" t="inlineStr">
        <is>
          <t>A ⊆ B</t>
        </is>
      </c>
      <c r="H217" s="14" t="inlineStr">
        <is>
          <t>B ⊆ A</t>
        </is>
      </c>
      <c r="I217" s="15" t="inlineStr">
        <is>
          <t>C</t>
        </is>
      </c>
      <c r="J217" s="16" t="inlineStr">
        <is>
          <t>The correct answer is A ⊆ B.</t>
        </is>
      </c>
    </row>
    <row r="218" ht="42" customHeight="1">
      <c r="A218" s="7" t="n">
        <v>217</v>
      </c>
      <c r="B218" s="8" t="inlineStr">
        <is>
          <t>Easy</t>
        </is>
      </c>
      <c r="C218" s="9" t="inlineStr">
        <is>
          <t>De Morgan’s Laws</t>
        </is>
      </c>
      <c r="D218" s="9" t="inlineStr">
        <is>
          <t>Let U be the universal set. If A ∩ B = {x} and A ∪ B = U, then what is (A ∩ B)'?</t>
        </is>
      </c>
      <c r="E218" s="9" t="inlineStr">
        <is>
          <t>{x}'</t>
        </is>
      </c>
      <c r="F218" s="9" t="inlineStr">
        <is>
          <t>U'</t>
        </is>
      </c>
      <c r="G218" s="9" t="inlineStr">
        <is>
          <t>∅'</t>
        </is>
      </c>
      <c r="H218" s="9" t="inlineStr">
        <is>
          <t>{x}</t>
        </is>
      </c>
      <c r="I218" s="10" t="inlineStr">
        <is>
          <t>C</t>
        </is>
      </c>
      <c r="J218" s="11" t="inlineStr">
        <is>
          <t>(A ∩ B)' = U' since there's only one element in A ∩ B.</t>
        </is>
      </c>
    </row>
    <row r="219" ht="42" customHeight="1">
      <c r="A219" s="7" t="n">
        <v>218</v>
      </c>
      <c r="B219" s="8" t="inlineStr">
        <is>
          <t>Easy</t>
        </is>
      </c>
      <c r="C219" s="9" t="inlineStr">
        <is>
          <t>De Morgan’s Laws</t>
        </is>
      </c>
      <c r="D219" s="9" t="inlineStr">
        <is>
          <t>If A and B are sets such that A ∪ B = {1, 2, 3} and A ∩ B = ∅, then what is (A ∪ B)'?</t>
        </is>
      </c>
      <c r="E219" s="9" t="inlineStr">
        <is>
          <t>{4, 5, 6}</t>
        </is>
      </c>
      <c r="F219" s="9" t="inlineStr">
        <is>
          <t>{0, 1, 2, 3}</t>
        </is>
      </c>
      <c r="G219" s="9" t="inlineStr">
        <is>
          <t>{1, 2, 3}</t>
        </is>
      </c>
      <c r="H219" s="9" t="inlineStr">
        <is>
          <t>∅'</t>
        </is>
      </c>
      <c r="I219" s="10" t="inlineStr">
        <is>
          <t>D</t>
        </is>
      </c>
      <c r="J219" s="11" t="inlineStr">
        <is>
          <t>(A ∪ B)' = U' - (A ∪ B) = {4, 5, 6}.</t>
        </is>
      </c>
    </row>
    <row r="220" ht="42" customHeight="1">
      <c r="A220" s="7" t="n">
        <v>219</v>
      </c>
      <c r="B220" s="8" t="inlineStr">
        <is>
          <t>Easy</t>
        </is>
      </c>
      <c r="C220" s="9" t="inlineStr">
        <is>
          <t>De Morgan’s Laws</t>
        </is>
      </c>
      <c r="D220" s="9" t="inlineStr">
        <is>
          <t>Let A and B be sets. If A ∩ B = ∅ and A ∪ B = {1, 2, 3}, then what is (A ∩ B)'?</t>
        </is>
      </c>
      <c r="E220" s="9" t="inlineStr">
        <is>
          <t>{1, 2, 3}</t>
        </is>
      </c>
      <c r="F220" s="9" t="inlineStr">
        <is>
          <t>∅'</t>
        </is>
      </c>
      <c r="G220" s="9" t="inlineStr">
        <is>
          <t>U'</t>
        </is>
      </c>
      <c r="H220" s="9" t="inlineStr">
        <is>
          <t>{0, 1, 2, 3}</t>
        </is>
      </c>
      <c r="I220" s="10" t="inlineStr">
        <is>
          <t>C</t>
        </is>
      </c>
      <c r="J220" s="11" t="inlineStr">
        <is>
          <t>(A ∩ B)' = U' since there's no common element in A and B.</t>
        </is>
      </c>
    </row>
    <row r="221" ht="42" customHeight="1">
      <c r="A221" s="7" t="n">
        <v>220</v>
      </c>
      <c r="B221" s="8" t="inlineStr">
        <is>
          <t>Easy</t>
        </is>
      </c>
      <c r="C221" s="9" t="inlineStr">
        <is>
          <t>De Morgan’s Laws</t>
        </is>
      </c>
      <c r="D221" s="9" t="inlineStr">
        <is>
          <t>If A and B are sets such that A ∪ B = {a, b} and A ∩ B = {x}, then what is (A ∩ B)'?</t>
        </is>
      </c>
      <c r="E221" s="9" t="inlineStr">
        <is>
          <t>{y}</t>
        </is>
      </c>
      <c r="F221" s="9" t="inlineStr">
        <is>
          <t>∅'</t>
        </is>
      </c>
      <c r="G221" s="9" t="inlineStr">
        <is>
          <t>{a, b}'</t>
        </is>
      </c>
      <c r="H221" s="9" t="inlineStr">
        <is>
          <t>{x}'</t>
        </is>
      </c>
      <c r="I221" s="10" t="inlineStr">
        <is>
          <t>B</t>
        </is>
      </c>
      <c r="J221" s="11" t="inlineStr">
        <is>
          <t>(A ∩ B)' = U' - (A ∩ B) = {y}.</t>
        </is>
      </c>
    </row>
    <row r="222" ht="42" customHeight="1">
      <c r="A222" s="12" t="n">
        <v>221</v>
      </c>
      <c r="B222" s="13" t="inlineStr">
        <is>
          <t>Medium</t>
        </is>
      </c>
      <c r="C222" s="14" t="inlineStr">
        <is>
          <t>Venn Diagram Problems (2 sets)</t>
        </is>
      </c>
      <c r="D222" s="14" t="inlineStr">
        <is>
          <t>In a college, the students who have taken computer science are represented by set A and those who have taken statistics are represented by set B. If</t>
        </is>
      </c>
      <c r="E222" s="14" t="inlineStr">
        <is>
          <t>A ∩ B</t>
        </is>
      </c>
      <c r="F222" s="14">
        <f> 10,</f>
        <v/>
      </c>
      <c r="G222" s="14" t="inlineStr">
        <is>
          <t>A</t>
        </is>
      </c>
      <c r="H222" s="14">
        <f> 30, and</f>
        <v/>
      </c>
      <c r="I222" s="15" t="inlineStr">
        <is>
          <t>B</t>
        </is>
      </c>
      <c r="J222" s="16">
        <f> 25, find</f>
        <v/>
      </c>
    </row>
    <row r="223" ht="42" customHeight="1">
      <c r="A223" s="12" t="n">
        <v>222</v>
      </c>
      <c r="B223" s="13" t="inlineStr">
        <is>
          <t>Medium</t>
        </is>
      </c>
      <c r="C223" s="14" t="inlineStr">
        <is>
          <t>Venn Diagram Problems (2 sets)</t>
        </is>
      </c>
      <c r="D223" s="14" t="inlineStr">
        <is>
          <t>In a school, the students who have taken English are represented by set A and those who have taken French are represented by set B. If</t>
        </is>
      </c>
      <c r="E223" s="14" t="inlineStr">
        <is>
          <t>A ∪ B</t>
        </is>
      </c>
      <c r="F223" s="14">
        <f> 40,</f>
        <v/>
      </c>
      <c r="G223" s="14" t="inlineStr">
        <is>
          <t>A</t>
        </is>
      </c>
      <c r="H223" s="14">
        <f> 20, and</f>
        <v/>
      </c>
      <c r="I223" s="15" t="inlineStr">
        <is>
          <t>B</t>
        </is>
      </c>
      <c r="J223" s="16">
        <f> 25, find</f>
        <v/>
      </c>
    </row>
    <row r="224" ht="42" customHeight="1">
      <c r="A224" s="12" t="n">
        <v>223</v>
      </c>
      <c r="B224" s="13" t="inlineStr">
        <is>
          <t>Medium</t>
        </is>
      </c>
      <c r="C224" s="14" t="inlineStr">
        <is>
          <t>Word Problems using Sets</t>
        </is>
      </c>
      <c r="D224" s="14" t="inlineStr">
        <is>
          <t>A bakery offers two types of cookies, chocolate and vanilla. If 1/3 of the cookies sold are chocolate and 2/5 of the cookies sold are vanilla, what fraction of the total cookies sold are neither chocolate nor vanilla?</t>
        </is>
      </c>
      <c r="E224" s="14" t="inlineStr">
        <is>
          <t>0</t>
        </is>
      </c>
      <c r="F224" s="14" t="inlineStr">
        <is>
          <t>1/15</t>
        </is>
      </c>
      <c r="G224" s="14" t="inlineStr">
        <is>
          <t>2/15</t>
        </is>
      </c>
      <c r="H224" s="14" t="inlineStr">
        <is>
          <t>7/15</t>
        </is>
      </c>
      <c r="I224" s="15" t="inlineStr">
        <is>
          <t>D</t>
        </is>
      </c>
      <c r="J224" s="16" t="inlineStr">
        <is>
          <t>Use Venn diagram to find the complement set.</t>
        </is>
      </c>
    </row>
    <row r="225" ht="42" customHeight="1">
      <c r="A225" s="12" t="n">
        <v>224</v>
      </c>
      <c r="B225" s="13" t="inlineStr">
        <is>
          <t>Medium</t>
        </is>
      </c>
      <c r="C225" s="14" t="inlineStr">
        <is>
          <t>Word Problems using Sets</t>
        </is>
      </c>
      <c r="D225" s="14" t="inlineStr">
        <is>
          <t>A company has two departments: A and B. Department A has 30 employees, while department B has 20 employees. If 3/5 of the employees in department A are also working in department B, what is the total number of employees who are only working in one department?</t>
        </is>
      </c>
      <c r="E225" s="14" t="inlineStr">
        <is>
          <t>10</t>
        </is>
      </c>
      <c r="F225" s="14" t="inlineStr">
        <is>
          <t>15</t>
        </is>
      </c>
      <c r="G225" s="14" t="inlineStr">
        <is>
          <t>25</t>
        </is>
      </c>
      <c r="H225" s="14" t="inlineStr">
        <is>
          <t>40</t>
        </is>
      </c>
      <c r="I225" s="15" t="inlineStr">
        <is>
          <t>C</t>
        </is>
      </c>
      <c r="J225" s="16" t="inlineStr">
        <is>
          <t>Use set operations to find the desired subset.</t>
        </is>
      </c>
    </row>
    <row r="226" ht="42" customHeight="1">
      <c r="A226" s="12" t="n">
        <v>225</v>
      </c>
      <c r="B226" s="13" t="inlineStr">
        <is>
          <t>Medium</t>
        </is>
      </c>
      <c r="C226" s="14" t="inlineStr">
        <is>
          <t>Word Problems using Sets</t>
        </is>
      </c>
      <c r="D226" s="14" t="inlineStr">
        <is>
          <t>A survey found that 3/4 of students like pizza and 2/3 of students like burgers. If 1/2 of the students like both, what is the total number of students who like only one type of food?</t>
        </is>
      </c>
      <c r="E226" s="14" t="inlineStr">
        <is>
          <t>15</t>
        </is>
      </c>
      <c r="F226" s="14" t="inlineStr">
        <is>
          <t>20</t>
        </is>
      </c>
      <c r="G226" s="14" t="inlineStr">
        <is>
          <t>30</t>
        </is>
      </c>
      <c r="H226" s="14" t="inlineStr">
        <is>
          <t>40</t>
        </is>
      </c>
      <c r="I226" s="15" t="inlineStr">
        <is>
          <t>B</t>
        </is>
      </c>
      <c r="J226" s="16" t="inlineStr">
        <is>
          <t>Use set operations to find the desired subset.</t>
        </is>
      </c>
    </row>
    <row r="227" ht="42" customHeight="1">
      <c r="A227" s="12" t="n">
        <v>226</v>
      </c>
      <c r="B227" s="13" t="inlineStr">
        <is>
          <t>Medium</t>
        </is>
      </c>
      <c r="C227" s="14" t="inlineStr">
        <is>
          <t>Word Problems using Sets</t>
        </is>
      </c>
      <c r="D227" s="14" t="inlineStr">
        <is>
          <t>A library has two sections: fiction and non-fiction. If 1/2 of the books in the fiction section are also in the non-fiction section, and there are 100 books in total, what is the number of books that are only in one section?</t>
        </is>
      </c>
      <c r="E227" s="14" t="inlineStr">
        <is>
          <t>20</t>
        </is>
      </c>
      <c r="F227" s="14" t="inlineStr">
        <is>
          <t>30</t>
        </is>
      </c>
      <c r="G227" s="14" t="inlineStr">
        <is>
          <t>50</t>
        </is>
      </c>
      <c r="H227" s="14" t="inlineStr">
        <is>
          <t>70</t>
        </is>
      </c>
      <c r="I227" s="15" t="inlineStr">
        <is>
          <t>D</t>
        </is>
      </c>
      <c r="J227" s="16" t="inlineStr">
        <is>
          <t>Use set operations to find the desired subset.</t>
        </is>
      </c>
    </row>
    <row r="228" ht="42" customHeight="1">
      <c r="A228" s="2" t="n">
        <v>227</v>
      </c>
      <c r="B228" s="3" t="inlineStr">
        <is>
          <t>Hard</t>
        </is>
      </c>
      <c r="C228" s="4" t="inlineStr">
        <is>
          <t>Venn Diagram Problems (3 sets)</t>
        </is>
      </c>
      <c r="D228" s="4" t="inlineStr">
        <is>
          <t>Three sets U, A, and B satisfy UAUB. If</t>
        </is>
      </c>
      <c r="E228" s="4" t="inlineStr">
        <is>
          <t>U</t>
        </is>
      </c>
      <c r="F228" s="4">
        <f>24,</f>
        <v/>
      </c>
      <c r="G228" s="4" t="inlineStr">
        <is>
          <t>A</t>
        </is>
      </c>
      <c r="H228" s="4">
        <f>16, and</f>
        <v/>
      </c>
      <c r="I228" s="5" t="inlineStr">
        <is>
          <t>B</t>
        </is>
      </c>
      <c r="J228" s="6">
        <f>12, find</f>
        <v/>
      </c>
    </row>
    <row r="229" ht="42" customHeight="1">
      <c r="A229" s="7" t="n">
        <v>228</v>
      </c>
      <c r="B229" s="8" t="inlineStr">
        <is>
          <t>Easy</t>
        </is>
      </c>
      <c r="C229" s="9" t="inlineStr">
        <is>
          <t>Basic Set Concepts (elements, subsets, types of sets)</t>
        </is>
      </c>
      <c r="D229" s="9" t="inlineStr">
        <is>
          <t>What is the complement of set A if P(A) = 3/5 and P(U) = 2/3?</t>
        </is>
      </c>
      <c r="E229" s="9" t="inlineStr">
        <is>
          <t>A' = {x</t>
        </is>
      </c>
      <c r="F229" s="9" t="inlineStr">
        <is>
          <t>x∈U,x∉A}</t>
        </is>
      </c>
      <c r="G229" s="9" t="inlineStr">
        <is>
          <t>B'</t>
        </is>
      </c>
      <c r="H229" s="9" t="inlineStr">
        <is>
          <t>{x</t>
        </is>
      </c>
      <c r="I229" s="10" t="inlineStr">
        <is>
          <t>A</t>
        </is>
      </c>
      <c r="J229" s="11" t="inlineStr">
        <is>
          <t>C'</t>
        </is>
      </c>
    </row>
    <row r="230" ht="42" customHeight="1">
      <c r="A230" s="7" t="n">
        <v>229</v>
      </c>
      <c r="B230" s="8" t="inlineStr">
        <is>
          <t>Easy</t>
        </is>
      </c>
      <c r="C230" s="9" t="inlineStr">
        <is>
          <t>Basic Set Concepts (elements, subsets, types of sets)</t>
        </is>
      </c>
      <c r="D230" s="9" t="inlineStr">
        <is>
          <t>Let A and B be two sets. Which of the following is a subset of both A and B?</t>
        </is>
      </c>
      <c r="E230" s="9" t="inlineStr">
        <is>
          <t>A ∩ B</t>
        </is>
      </c>
      <c r="F230" s="9" t="inlineStr">
        <is>
          <t>A ∪ B</t>
        </is>
      </c>
      <c r="G230" s="9" t="inlineStr">
        <is>
          <t>A - B</t>
        </is>
      </c>
      <c r="H230" s="9" t="inlineStr">
        <is>
          <t>B - A</t>
        </is>
      </c>
      <c r="I230" s="10" t="inlineStr">
        <is>
          <t>D</t>
        </is>
      </c>
      <c r="J230" s="11" t="inlineStr">
        <is>
          <t>A ∩ B contains all elements common to both A and B.</t>
        </is>
      </c>
    </row>
    <row r="231" ht="42" customHeight="1">
      <c r="A231" s="7" t="n">
        <v>230</v>
      </c>
      <c r="B231" s="8" t="inlineStr">
        <is>
          <t>Easy</t>
        </is>
      </c>
      <c r="C231" s="9" t="inlineStr">
        <is>
          <t>Basic Set Concepts (elements, subsets, types of sets)</t>
        </is>
      </c>
      <c r="D231" s="9" t="inlineStr">
        <is>
          <t>If U = {1, 2, 3, 4} and A = {1, 2}, what is the power set P(A)?</t>
        </is>
      </c>
      <c r="E231" s="9" t="inlineStr">
        <is>
          <t>P(A) = {{}, {1}, {2}, {1, 2}}</t>
        </is>
      </c>
      <c r="F231" s="9" t="inlineStr">
        <is>
          <t>P(A) = {{}, {1}, {2}, {1, 2}, {3}</t>
        </is>
      </c>
      <c r="G231" s="9" t="inlineStr">
        <is>
          <t>P(A) = {{}, {1}, {2}, {1, 2}, {4}</t>
        </is>
      </c>
      <c r="H231" s="9" t="inlineStr">
        <is>
          <t>P(A) = {{}, {1}, {2}, {1, 2}, {3, 4}</t>
        </is>
      </c>
      <c r="I231" s="10" t="inlineStr">
        <is>
          <t>B</t>
        </is>
      </c>
      <c r="J231" s="11" t="inlineStr">
        <is>
          <t>The power set of A contains all possible subsets of A.</t>
        </is>
      </c>
    </row>
    <row r="232" ht="42" customHeight="1">
      <c r="A232" s="7" t="n">
        <v>231</v>
      </c>
      <c r="B232" s="8" t="inlineStr">
        <is>
          <t>Easy</t>
        </is>
      </c>
      <c r="C232" s="9" t="inlineStr">
        <is>
          <t>Basic Set Concepts (elements, subsets, types of sets)</t>
        </is>
      </c>
      <c r="D232" s="9" t="inlineStr">
        <is>
          <t>What is the union of two disjoint sets A and B?</t>
        </is>
      </c>
      <c r="E232" s="9" t="inlineStr">
        <is>
          <t>A ∪ B = A ∩ B</t>
        </is>
      </c>
      <c r="F232" s="9" t="inlineStr">
        <is>
          <t>A ∪ B = A - B</t>
        </is>
      </c>
      <c r="G232" s="9" t="inlineStr">
        <is>
          <t>A ∪ B = B - A</t>
        </is>
      </c>
      <c r="H232" s="9" t="inlineStr">
        <is>
          <t>A ∪ B = φ</t>
        </is>
      </c>
      <c r="I232" s="10" t="inlineStr">
        <is>
          <t>D</t>
        </is>
      </c>
      <c r="J232" s="11" t="inlineStr">
        <is>
          <t>The union of two disjoint sets is the set containing all elements from either set.</t>
        </is>
      </c>
    </row>
    <row r="233" ht="42" customHeight="1">
      <c r="A233" s="7" t="n">
        <v>232</v>
      </c>
      <c r="B233" s="8" t="inlineStr">
        <is>
          <t>Easy</t>
        </is>
      </c>
      <c r="C233" s="9" t="inlineStr">
        <is>
          <t>Operations on Sets (union, intersection, difference)</t>
        </is>
      </c>
      <c r="D233" s="9" t="inlineStr">
        <is>
          <t>Let A = {1, 2, 3} and B = {2, 3, 4}. Find A ∩ B</t>
        </is>
      </c>
      <c r="E233" s="9" t="inlineStr">
        <is>
          <t>{2, 3}</t>
        </is>
      </c>
      <c r="F233" s="9" t="inlineStr">
        <is>
          <t>A ∪ B</t>
        </is>
      </c>
      <c r="G233" s="9" t="inlineStr">
        <is>
          <t>{1, 2, 3, 4}</t>
        </is>
      </c>
      <c r="H233" s="9" t="inlineStr">
        <is>
          <t>{1, 4}</t>
        </is>
      </c>
      <c r="I233" s="10" t="inlineStr">
        <is>
          <t>B</t>
        </is>
      </c>
      <c r="J233" s="11" t="inlineStr">
        <is>
          <t>The intersection of two sets is the set of elements common to both.</t>
        </is>
      </c>
    </row>
    <row r="234" ht="42" customHeight="1">
      <c r="A234" s="7" t="n">
        <v>233</v>
      </c>
      <c r="B234" s="8" t="inlineStr">
        <is>
          <t>Easy</t>
        </is>
      </c>
      <c r="C234" s="9" t="inlineStr">
        <is>
          <t>Operations on Sets (union, intersection, difference)</t>
        </is>
      </c>
      <c r="D234" s="9" t="inlineStr">
        <is>
          <t>Let A = {a, b} and B = {b, c}. Find A ∩ B</t>
        </is>
      </c>
      <c r="E234" s="9" t="inlineStr">
        <is>
          <t>{b}</t>
        </is>
      </c>
      <c r="F234" s="9" t="inlineStr">
        <is>
          <t>A ∪ B</t>
        </is>
      </c>
      <c r="G234" s="9" t="inlineStr">
        <is>
          <t>{a, b, c}</t>
        </is>
      </c>
      <c r="H234" s="9" t="inlineStr">
        <is>
          <t>{a, c}</t>
        </is>
      </c>
      <c r="I234" s="10" t="inlineStr">
        <is>
          <t>B</t>
        </is>
      </c>
      <c r="J234" s="11" t="inlineStr">
        <is>
          <t>The intersection of two sets is the set of elements common to both.</t>
        </is>
      </c>
    </row>
    <row r="235" ht="42" customHeight="1">
      <c r="A235" s="12" t="n">
        <v>234</v>
      </c>
      <c r="B235" s="13" t="inlineStr">
        <is>
          <t>Medium</t>
        </is>
      </c>
      <c r="C235" s="14" t="inlineStr">
        <is>
          <t>Set Identities and Properties</t>
        </is>
      </c>
      <c r="D235" s="14" t="inlineStr">
        <is>
          <t>Let U be the universal set, A ∩ B ≠ ∅. Which of the following is true?</t>
        </is>
      </c>
      <c r="E235" s="14" t="inlineStr">
        <is>
          <t>A) A ⊆ U, B ⊆ U</t>
        </is>
      </c>
      <c r="F235" s="14" t="inlineStr">
        <is>
          <t>B) A ⊂ U, B ⊂ U</t>
        </is>
      </c>
      <c r="G235" s="14" t="inlineStr">
        <is>
          <t>C) A ⊇ U, B ⊇ U</t>
        </is>
      </c>
      <c r="H235" s="14" t="inlineStr">
        <is>
          <t>D) A = U, B = U</t>
        </is>
      </c>
      <c r="I235" s="15" t="inlineStr">
        <is>
          <t>A</t>
        </is>
      </c>
      <c r="J235" s="16" t="inlineStr">
        <is>
          <t>Given that A and B have non-empty intersection, they must be subsets of the universal set U.</t>
        </is>
      </c>
    </row>
    <row r="236" ht="42" customHeight="1">
      <c r="A236" s="12" t="n">
        <v>235</v>
      </c>
      <c r="B236" s="13" t="inlineStr">
        <is>
          <t>Medium</t>
        </is>
      </c>
      <c r="C236" s="14" t="inlineStr">
        <is>
          <t>Set Identities and Properties</t>
        </is>
      </c>
      <c r="D236" s="14" t="inlineStr">
        <is>
          <t>If A ∪ (B ∩ C) = A ∪ B, which of the following is true?</t>
        </is>
      </c>
      <c r="E236" s="14" t="inlineStr">
        <is>
          <t>A) A ⊆ B</t>
        </is>
      </c>
      <c r="F236" s="14" t="inlineStr">
        <is>
          <t>B) A ⊇ B</t>
        </is>
      </c>
      <c r="G236" s="14" t="inlineStr">
        <is>
          <t>C) A ∩ B = ∅</t>
        </is>
      </c>
      <c r="H236" s="14" t="inlineStr">
        <is>
          <t>D) A ∩ C = ∅</t>
        </is>
      </c>
      <c r="I236" s="15" t="inlineStr">
        <is>
          <t>B</t>
        </is>
      </c>
      <c r="J236" s="16" t="inlineStr">
        <is>
          <t>Distribute union and intersection to get A ∪ (B ∩ C) = A ∪ B, then simplify.</t>
        </is>
      </c>
    </row>
    <row r="237" ht="42" customHeight="1">
      <c r="A237" s="12" t="n">
        <v>236</v>
      </c>
      <c r="B237" s="13" t="inlineStr">
        <is>
          <t>Medium</t>
        </is>
      </c>
      <c r="C237" s="14" t="inlineStr">
        <is>
          <t>Set Identities and Properties</t>
        </is>
      </c>
      <c r="D237" s="14" t="inlineStr">
        <is>
          <t>If A ⊆ B and C ⊇ D, which of the following is true?</t>
        </is>
      </c>
      <c r="E237" s="14" t="inlineStr">
        <is>
          <t>A) A ∩ C ⊆ B ∩ D</t>
        </is>
      </c>
      <c r="F237" s="14" t="inlineStr">
        <is>
          <t>B) A ∪ C ⊇ B ∪ D</t>
        </is>
      </c>
      <c r="G237" s="14" t="inlineStr">
        <is>
          <t>C) A ∩ C = B ∩ D</t>
        </is>
      </c>
      <c r="H237" s="14" t="inlineStr">
        <is>
          <t>D) A ∪ C = B ∪ D</t>
        </is>
      </c>
      <c r="I237" s="15" t="inlineStr">
        <is>
          <t>A</t>
        </is>
      </c>
      <c r="J237" s="16" t="inlineStr">
        <is>
          <t>Use set containment and intersection properties to deduce the result.</t>
        </is>
      </c>
    </row>
    <row r="238" ht="42" customHeight="1">
      <c r="A238" s="7" t="n">
        <v>237</v>
      </c>
      <c r="B238" s="8" t="inlineStr">
        <is>
          <t>Easy</t>
        </is>
      </c>
      <c r="C238" s="9" t="inlineStr">
        <is>
          <t>Cardinality of Sets</t>
        </is>
      </c>
      <c r="D238" s="9" t="inlineStr">
        <is>
          <t>Two sets A and B have cardinalities</t>
        </is>
      </c>
      <c r="E238" s="9" t="inlineStr">
        <is>
          <t>n(A)</t>
        </is>
      </c>
      <c r="F238" s="9">
        <f> 5 and</f>
        <v/>
      </c>
      <c r="G238" s="9" t="inlineStr">
        <is>
          <t>n(B)</t>
        </is>
      </c>
      <c r="H238" s="9">
        <f> 3. What is the maximum possible value of</f>
        <v/>
      </c>
      <c r="I238" s="10" t="inlineStr">
        <is>
          <t>A</t>
        </is>
      </c>
      <c r="J238" s="11" t="inlineStr">
        <is>
          <t>?</t>
        </is>
      </c>
    </row>
    <row r="239" ht="42" customHeight="1">
      <c r="A239" s="7" t="n">
        <v>238</v>
      </c>
      <c r="B239" s="8" t="inlineStr">
        <is>
          <t>Easy</t>
        </is>
      </c>
      <c r="C239" s="9" t="inlineStr">
        <is>
          <t>Cardinality of Sets</t>
        </is>
      </c>
      <c r="D239" s="9" t="inlineStr">
        <is>
          <t>Let A and B be finite sets. If</t>
        </is>
      </c>
      <c r="E239" s="9" t="inlineStr">
        <is>
          <t>n(A)</t>
        </is>
      </c>
      <c r="F239" s="9">
        <f> 6 and</f>
        <v/>
      </c>
      <c r="G239" s="9" t="inlineStr">
        <is>
          <t>n(B)</t>
        </is>
      </c>
      <c r="H239" s="9">
        <f> 8, what is the maximum possible value of</f>
        <v/>
      </c>
      <c r="I239" s="10" t="inlineStr">
        <is>
          <t>A</t>
        </is>
      </c>
      <c r="J239" s="11" t="inlineStr">
        <is>
          <t>?</t>
        </is>
      </c>
    </row>
    <row r="240" ht="42" customHeight="1">
      <c r="A240" s="7" t="n">
        <v>239</v>
      </c>
      <c r="B240" s="8" t="inlineStr">
        <is>
          <t>Easy</t>
        </is>
      </c>
      <c r="C240" s="9" t="inlineStr">
        <is>
          <t>Application-based Set Theory Problems</t>
        </is>
      </c>
      <c r="D240" s="9" t="inlineStr">
        <is>
          <t>If A and B are sets such that</t>
        </is>
      </c>
      <c r="E240" s="9" t="inlineStr">
        <is>
          <t>A</t>
        </is>
      </c>
      <c r="F240" s="9">
        <f> 5,</f>
        <v/>
      </c>
      <c r="G240" s="9" t="inlineStr">
        <is>
          <t>B</t>
        </is>
      </c>
      <c r="H240" s="9">
        <f> 3, and</f>
        <v/>
      </c>
      <c r="I240" s="10" t="inlineStr">
        <is>
          <t>A</t>
        </is>
      </c>
      <c r="J240" s="11">
        <f> 2, find</f>
        <v/>
      </c>
    </row>
    <row r="241" ht="42" customHeight="1">
      <c r="A241" s="2" t="n">
        <v>240</v>
      </c>
      <c r="B241" s="3" t="inlineStr">
        <is>
          <t>Hard</t>
        </is>
      </c>
      <c r="C241" s="4" t="inlineStr">
        <is>
          <t>De Morgan’s Laws</t>
        </is>
      </c>
      <c r="D241" s="4" t="inlineStr">
        <is>
          <t>Let U be the universal set and A, B be subsets. If A ∩ B' = φ and A' ∩ B = φ, then which of the following is true?</t>
        </is>
      </c>
      <c r="E241" s="4" t="inlineStr">
        <is>
          <t>A' ∪ B'</t>
        </is>
      </c>
      <c r="F241" s="4" t="inlineStr">
        <is>
          <t>B' ∪ (A ∪ B)</t>
        </is>
      </c>
      <c r="G241" s="4" t="inlineStr">
        <is>
          <t>A ∪ B'</t>
        </is>
      </c>
      <c r="H241" s="4" t="inlineStr">
        <is>
          <t>U</t>
        </is>
      </c>
      <c r="I241" s="5" t="inlineStr">
        <is>
          <t>A</t>
        </is>
      </c>
      <c r="J241" s="6" t="inlineStr">
        <is>
          <t>The given conditions imply that A ⊆ B' and B ⊆ A', so A ∪ B' = U.</t>
        </is>
      </c>
    </row>
    <row r="242" ht="42" customHeight="1">
      <c r="A242" s="2" t="n">
        <v>241</v>
      </c>
      <c r="B242" s="3" t="inlineStr">
        <is>
          <t>Hard</t>
        </is>
      </c>
      <c r="C242" s="4" t="inlineStr">
        <is>
          <t>De Morgan’s Laws</t>
        </is>
      </c>
      <c r="D242" s="4" t="inlineStr">
        <is>
          <t>(P ∧ Q)' + P' ∨ Q'</t>
        </is>
      </c>
      <c r="E242" s="4" t="inlineStr">
        <is>
          <t>P'</t>
        </is>
      </c>
      <c r="F242" s="4" t="inlineStr">
        <is>
          <t>Q'</t>
        </is>
      </c>
      <c r="G242" s="4" t="inlineStr">
        <is>
          <t>P ∧ Q'</t>
        </is>
      </c>
      <c r="H242" s="4" t="inlineStr">
        <is>
          <t>P ∨ Q</t>
        </is>
      </c>
      <c r="I242" s="5" t="inlineStr">
        <is>
          <t>B</t>
        </is>
      </c>
      <c r="J242" s="6" t="inlineStr">
        <is>
          <t>By De Morgan's Law, (P ∧ Q)' is equivalent to P' ∨ Q', which simplifies the given expression.</t>
        </is>
      </c>
    </row>
    <row r="243" ht="42" customHeight="1">
      <c r="A243" s="2" t="n">
        <v>242</v>
      </c>
      <c r="B243" s="3" t="inlineStr">
        <is>
          <t>Hard</t>
        </is>
      </c>
      <c r="C243" s="4" t="inlineStr">
        <is>
          <t>De Morgan’s Laws</t>
        </is>
      </c>
      <c r="D243" s="4" t="inlineStr">
        <is>
          <t>Let A and B be sets. If A ∩ B = φ and A ∪ B = U, then which of the following is true?</t>
        </is>
      </c>
      <c r="E243" s="4" t="inlineStr">
        <is>
          <t>(A ∪ B)'</t>
        </is>
      </c>
      <c r="F243" s="4" t="inlineStr">
        <is>
          <t>(A ∩ B)'</t>
        </is>
      </c>
      <c r="G243" s="4" t="inlineStr">
        <is>
          <t>(A' ∪ B')</t>
        </is>
      </c>
      <c r="H243" s="4" t="inlineStr">
        <is>
          <t>(A ∪ B)'</t>
        </is>
      </c>
      <c r="I243" s="5" t="inlineStr">
        <is>
          <t>A</t>
        </is>
      </c>
      <c r="J243" s="6" t="inlineStr">
        <is>
          <t>The given conditions imply that A ∩ B = φ and A ∪ B = U, so (A ∪ B)' = φ, which simplifies the expression.</t>
        </is>
      </c>
    </row>
    <row r="244" ht="42" customHeight="1">
      <c r="A244" s="2" t="n">
        <v>243</v>
      </c>
      <c r="B244" s="3" t="inlineStr">
        <is>
          <t>Hard</t>
        </is>
      </c>
      <c r="C244" s="4" t="inlineStr">
        <is>
          <t>De Morgan’s Laws</t>
        </is>
      </c>
      <c r="D244" s="4" t="inlineStr">
        <is>
          <t>Let P be a statement. If ¬(P ∨ Q) is true, then which of the following is true?</t>
        </is>
      </c>
      <c r="E244" s="4" t="inlineStr">
        <is>
          <t>¬P ∧ ¬Q</t>
        </is>
      </c>
      <c r="F244" s="4" t="inlineStr">
        <is>
          <t>P ∧ Q</t>
        </is>
      </c>
      <c r="G244" s="4" t="inlineStr">
        <is>
          <t>¬P ∨ Q</t>
        </is>
      </c>
      <c r="H244" s="4" t="inlineStr">
        <is>
          <t>P'</t>
        </is>
      </c>
      <c r="I244" s="5" t="inlineStr">
        <is>
          <t>B</t>
        </is>
      </c>
      <c r="J244" s="6" t="inlineStr">
        <is>
          <t>By De Morgan's Law, ¬(P ∨ Q) is equivalent to ¬P ∧ ¬Q.</t>
        </is>
      </c>
    </row>
    <row r="245" ht="42" customHeight="1">
      <c r="A245" s="2" t="n">
        <v>244</v>
      </c>
      <c r="B245" s="3" t="inlineStr">
        <is>
          <t>Hard</t>
        </is>
      </c>
      <c r="C245" s="4" t="inlineStr">
        <is>
          <t>Application-based Set Theory Problems</t>
        </is>
      </c>
      <c r="D245" s="4" t="inlineStr">
        <is>
          <t>In a certain city, 30% of the population has watched movie X, 40% have watched movie Y, and 10% have watched both. If the total population is 1000, how many people have watched at least one of the movies?</t>
        </is>
      </c>
      <c r="E245" s="4" t="inlineStr">
        <is>
          <t>300</t>
        </is>
      </c>
      <c r="F245" s="4" t="inlineStr">
        <is>
          <t>400</t>
        </is>
      </c>
      <c r="G245" s="4" t="inlineStr">
        <is>
          <t>500</t>
        </is>
      </c>
      <c r="H245" s="4" t="inlineStr">
        <is>
          <t>700</t>
        </is>
      </c>
      <c r="I245" s="5" t="inlineStr">
        <is>
          <t>A</t>
        </is>
      </c>
      <c r="J245" s="6" t="inlineStr">
        <is>
          <t>Use Venn diagram to find the union of A and B.</t>
        </is>
      </c>
    </row>
    <row r="246" ht="42" customHeight="1">
      <c r="A246" s="2" t="n">
        <v>245</v>
      </c>
      <c r="B246" s="3" t="inlineStr">
        <is>
          <t>Hard</t>
        </is>
      </c>
      <c r="C246" s="4" t="inlineStr">
        <is>
          <t>Application-based Set Theory Problems</t>
        </is>
      </c>
      <c r="D246" s="4" t="inlineStr">
        <is>
          <t>In a certain company, 20% of employees are engineers, 30% are managers, and 10% are both. If there are 500 employees in total, how many employees are not engineers or managers?</t>
        </is>
      </c>
      <c r="E246" s="4" t="inlineStr">
        <is>
          <t>100</t>
        </is>
      </c>
      <c r="F246" s="4" t="inlineStr">
        <is>
          <t>150</t>
        </is>
      </c>
      <c r="G246" s="4" t="inlineStr">
        <is>
          <t>200</t>
        </is>
      </c>
      <c r="H246" s="4" t="inlineStr">
        <is>
          <t>250</t>
        </is>
      </c>
      <c r="I246" s="5" t="inlineStr">
        <is>
          <t>C</t>
        </is>
      </c>
      <c r="J246" s="6" t="inlineStr">
        <is>
          <t>Use set operations to find the complement of A∪B.</t>
        </is>
      </c>
    </row>
    <row r="247" ht="42" customHeight="1">
      <c r="A247" s="7" t="n">
        <v>246</v>
      </c>
      <c r="B247" s="8" t="inlineStr">
        <is>
          <t>Easy</t>
        </is>
      </c>
      <c r="C247" s="9" t="inlineStr">
        <is>
          <t>Complement of Sets</t>
        </is>
      </c>
      <c r="D247" s="9" t="inlineStr">
        <is>
          <t>Let U be the universal set and A be a subset of U. What is the complement of A with respect to U?</t>
        </is>
      </c>
      <c r="E247" s="9" t="inlineStr">
        <is>
          <t>U - A</t>
        </is>
      </c>
      <c r="F247" s="9" t="inlineStr">
        <is>
          <t>A - U</t>
        </is>
      </c>
      <c r="G247" s="9" t="inlineStr">
        <is>
          <t>A ∩ U</t>
        </is>
      </c>
      <c r="H247" s="9" t="inlineStr">
        <is>
          <t>A ∪ U</t>
        </is>
      </c>
      <c r="I247" s="10" t="inlineStr">
        <is>
          <t>B</t>
        </is>
      </c>
      <c r="J247" s="11" t="inlineStr">
        <is>
          <t>The complement of A is the set of all elements in U that are not in A.</t>
        </is>
      </c>
    </row>
    <row r="248" ht="42" customHeight="1">
      <c r="A248" s="7" t="n">
        <v>247</v>
      </c>
      <c r="B248" s="8" t="inlineStr">
        <is>
          <t>Easy</t>
        </is>
      </c>
      <c r="C248" s="9" t="inlineStr">
        <is>
          <t>Complement of Sets</t>
        </is>
      </c>
      <c r="D248" s="9" t="inlineStr">
        <is>
          <t>If A and B are sets such that A ⊆ B, what is the complement of A with respect to B?</t>
        </is>
      </c>
      <c r="E248" s="9" t="inlineStr">
        <is>
          <t>B - A</t>
        </is>
      </c>
      <c r="F248" s="9" t="inlineStr">
        <is>
          <t>A - B</t>
        </is>
      </c>
      <c r="G248" s="9" t="inlineStr">
        <is>
          <t>∅</t>
        </is>
      </c>
      <c r="H248" s="9" t="inlineStr">
        <is>
          <t>B</t>
        </is>
      </c>
      <c r="I248" s="10" t="inlineStr">
        <is>
          <t>C</t>
        </is>
      </c>
      <c r="J248" s="11" t="inlineStr">
        <is>
          <t>The complement of A with respect to B is B - A, which contains all elements in B but not in A.</t>
        </is>
      </c>
    </row>
    <row r="249" ht="42" customHeight="1">
      <c r="A249" s="7" t="n">
        <v>248</v>
      </c>
      <c r="B249" s="8" t="inlineStr">
        <is>
          <t>Easy</t>
        </is>
      </c>
      <c r="C249" s="9" t="inlineStr">
        <is>
          <t>Complement of Sets</t>
        </is>
      </c>
      <c r="D249" s="9" t="inlineStr">
        <is>
          <t>Let A and B be sets such that A ∩ B = ∅. What is the complement of A with respect to A ∪ B?</t>
        </is>
      </c>
      <c r="E249" s="9" t="inlineStr">
        <is>
          <t>A ∪ B - A</t>
        </is>
      </c>
      <c r="F249" s="9" t="inlineStr">
        <is>
          <t>B - A</t>
        </is>
      </c>
      <c r="G249" s="9" t="inlineStr">
        <is>
          <t>A - B</t>
        </is>
      </c>
      <c r="H249" s="9" t="inlineStr">
        <is>
          <t>∅</t>
        </is>
      </c>
      <c r="I249" s="10" t="inlineStr">
        <is>
          <t>D</t>
        </is>
      </c>
      <c r="J249" s="11" t="inlineStr">
        <is>
          <t>The complement of A with respect to A ∪ B is A ∪ B - A, which contains all elements in A ∪ B but not in A.</t>
        </is>
      </c>
    </row>
    <row r="250" ht="42" customHeight="1">
      <c r="A250" s="7" t="n">
        <v>249</v>
      </c>
      <c r="B250" s="8" t="inlineStr">
        <is>
          <t>Easy</t>
        </is>
      </c>
      <c r="C250" s="9" t="inlineStr">
        <is>
          <t>Complement of Sets</t>
        </is>
      </c>
      <c r="D250" s="9" t="inlineStr">
        <is>
          <t>If A and B are sets such that A ⊆ B and C = B - A, what is the complement of A with respect to C?</t>
        </is>
      </c>
      <c r="E250" s="9" t="inlineStr">
        <is>
          <t>C - A</t>
        </is>
      </c>
      <c r="F250" s="9" t="inlineStr">
        <is>
          <t>A - C</t>
        </is>
      </c>
      <c r="G250" s="9" t="inlineStr">
        <is>
          <t>∅</t>
        </is>
      </c>
      <c r="H250" s="9" t="inlineStr">
        <is>
          <t>B</t>
        </is>
      </c>
      <c r="I250" s="10" t="inlineStr">
        <is>
          <t>B</t>
        </is>
      </c>
      <c r="J250" s="11" t="inlineStr">
        <is>
          <t>The complement of A with respect to C is C - A, which contains all elements in C but not in A.</t>
        </is>
      </c>
    </row>
    <row r="251" ht="42" customHeight="1">
      <c r="A251" s="2" t="n">
        <v>250</v>
      </c>
      <c r="B251" s="3" t="inlineStr">
        <is>
          <t>Hard</t>
        </is>
      </c>
      <c r="C251" s="4" t="inlineStr">
        <is>
          <t>Set Identities and Properties</t>
        </is>
      </c>
      <c r="D251" s="4" t="inlineStr">
        <is>
          <t>Let A, B, C be sets. If A ∩ (B ∪ C) = ∅ and A ⊆ B, then what is the relationship between A and C?</t>
        </is>
      </c>
      <c r="E251" s="4" t="inlineStr">
        <is>
          <t>A ⊆ C</t>
        </is>
      </c>
      <c r="F251" s="4" t="inlineStr">
        <is>
          <t>A ⊇ C</t>
        </is>
      </c>
      <c r="G251" s="4" t="inlineStr">
        <is>
          <t>A = C</t>
        </is>
      </c>
      <c r="H251" s="4" t="inlineStr">
        <is>
          <t>A ∩ C = ∅</t>
        </is>
      </c>
      <c r="I251" s="5" t="inlineStr">
        <is>
          <t>C</t>
        </is>
      </c>
      <c r="J251" s="6" t="inlineStr">
        <is>
          <t>A ⊆ C because A ⊆ B and B ∪ C has no intersection with A.</t>
        </is>
      </c>
    </row>
    <row r="252" ht="42" customHeight="1">
      <c r="A252" s="2" t="n">
        <v>251</v>
      </c>
      <c r="B252" s="3" t="inlineStr">
        <is>
          <t>Hard</t>
        </is>
      </c>
      <c r="C252" s="4" t="inlineStr">
        <is>
          <t>Set Identities and Properties</t>
        </is>
      </c>
      <c r="D252" s="4" t="inlineStr">
        <is>
          <t>If A, B are sets such that</t>
        </is>
      </c>
      <c r="E252" s="4" t="inlineStr">
        <is>
          <t>A</t>
        </is>
      </c>
      <c r="F252" s="4">
        <f> 7,</f>
        <v/>
      </c>
      <c r="G252" s="4" t="inlineStr">
        <is>
          <t>B</t>
        </is>
      </c>
      <c r="H252" s="4">
        <f> 9, and</f>
        <v/>
      </c>
      <c r="I252" s="5" t="inlineStr">
        <is>
          <t>A</t>
        </is>
      </c>
      <c r="J252" s="6">
        <f> 3, then what is the value of</f>
        <v/>
      </c>
    </row>
    <row r="253" ht="42" customHeight="1">
      <c r="A253" s="12" t="n">
        <v>252</v>
      </c>
      <c r="B253" s="13" t="inlineStr">
        <is>
          <t>Medium</t>
        </is>
      </c>
      <c r="C253" s="14" t="inlineStr">
        <is>
          <t>Application-based Set Theory Problems</t>
        </is>
      </c>
      <c r="D253" s="14" t="inlineStr">
        <is>
          <t>R is the universal set, and A and B are subsets such that</t>
        </is>
      </c>
      <c r="E253" s="14" t="inlineStr">
        <is>
          <t>A∪B</t>
        </is>
      </c>
      <c r="F253" s="14">
        <f>10,</f>
        <v/>
      </c>
      <c r="G253" s="14" t="inlineStr">
        <is>
          <t>A∩B</t>
        </is>
      </c>
      <c r="H253" s="14">
        <f>2, and</f>
        <v/>
      </c>
      <c r="I253" s="15" t="inlineStr">
        <is>
          <t>A</t>
        </is>
      </c>
      <c r="J253" s="16">
        <f>5. What is</f>
        <v/>
      </c>
    </row>
    <row r="254" ht="42" customHeight="1">
      <c r="A254" s="12" t="n">
        <v>253</v>
      </c>
      <c r="B254" s="13" t="inlineStr">
        <is>
          <t>Medium</t>
        </is>
      </c>
      <c r="C254" s="14" t="inlineStr">
        <is>
          <t>Application-based Set Theory Problems</t>
        </is>
      </c>
      <c r="D254" s="14" t="inlineStr">
        <is>
          <t>Let A and B be sets such that A ⊆ B. If</t>
        </is>
      </c>
      <c r="E254" s="14" t="inlineStr">
        <is>
          <t>A</t>
        </is>
      </c>
      <c r="F254" s="14">
        <f>8 and</f>
        <v/>
      </c>
      <c r="G254" s="14" t="inlineStr">
        <is>
          <t>B</t>
        </is>
      </c>
      <c r="H254" s="14">
        <f>12, what is the value of</f>
        <v/>
      </c>
      <c r="I254" s="15" t="inlineStr">
        <is>
          <t>A</t>
        </is>
      </c>
      <c r="J254" s="16" t="inlineStr">
        <is>
          <t>?</t>
        </is>
      </c>
    </row>
    <row r="255" ht="42" customHeight="1">
      <c r="A255" s="12" t="n">
        <v>254</v>
      </c>
      <c r="B255" s="13" t="inlineStr">
        <is>
          <t>Medium</t>
        </is>
      </c>
      <c r="C255" s="14" t="inlineStr">
        <is>
          <t>Application-based Set Theory Problems</t>
        </is>
      </c>
      <c r="D255" s="14" t="inlineStr">
        <is>
          <t>In a certain city, 30% of the population are students, and 20% of the students are athletes. If the total population is 100000, how many people are both students and athletes?</t>
        </is>
      </c>
      <c r="E255" s="14" t="inlineStr">
        <is>
          <t>6000</t>
        </is>
      </c>
      <c r="F255" s="14" t="inlineStr">
        <is>
          <t>12000</t>
        </is>
      </c>
      <c r="G255" s="14" t="inlineStr">
        <is>
          <t>18000</t>
        </is>
      </c>
      <c r="H255" s="14" t="inlineStr">
        <is>
          <t>20000</t>
        </is>
      </c>
      <c r="I255" s="15" t="inlineStr">
        <is>
          <t>B</t>
        </is>
      </c>
      <c r="J255" s="16" t="inlineStr">
        <is>
          <t>Use set operations:</t>
        </is>
      </c>
    </row>
    <row r="256" ht="42" customHeight="1">
      <c r="A256" s="12" t="n">
        <v>255</v>
      </c>
      <c r="B256" s="13" t="inlineStr">
        <is>
          <t>Medium</t>
        </is>
      </c>
      <c r="C256" s="14" t="inlineStr">
        <is>
          <t>Application-based Set Theory Problems</t>
        </is>
      </c>
      <c r="D256" s="14" t="inlineStr">
        <is>
          <t>A and B are sets such that A ⊆ B, and</t>
        </is>
      </c>
      <c r="E256" s="14" t="inlineStr">
        <is>
          <t>A</t>
        </is>
      </c>
      <c r="F256" s="14">
        <f>5. If</f>
        <v/>
      </c>
      <c r="G256" s="14" t="inlineStr">
        <is>
          <t>B^c</t>
        </is>
      </c>
      <c r="H256" s="14">
        <f>3, what is the value of</f>
        <v/>
      </c>
      <c r="I256" s="15" t="inlineStr">
        <is>
          <t>A</t>
        </is>
      </c>
      <c r="J256" s="16" t="inlineStr">
        <is>
          <t>?</t>
        </is>
      </c>
    </row>
    <row r="257" ht="42" customHeight="1">
      <c r="A257" s="12" t="n">
        <v>256</v>
      </c>
      <c r="B257" s="13" t="inlineStr">
        <is>
          <t>Medium</t>
        </is>
      </c>
      <c r="C257" s="14" t="inlineStr">
        <is>
          <t>De Morgan’s Laws</t>
        </is>
      </c>
      <c r="D257" s="14" t="inlineStr">
        <is>
          <t>Let U be the universal set and A, B be subsets. If A ∩ B' = ∅ and A' ∪ B = U, then what is A ∩ B?</t>
        </is>
      </c>
      <c r="E257" s="14" t="inlineStr">
        <is>
          <t>∅</t>
        </is>
      </c>
      <c r="F257" s="14" t="inlineStr">
        <is>
          <t>A</t>
        </is>
      </c>
      <c r="G257" s="14" t="inlineStr">
        <is>
          <t>B</t>
        </is>
      </c>
      <c r="H257" s="14" t="inlineStr">
        <is>
          <t>U</t>
        </is>
      </c>
      <c r="I257" s="15" t="inlineStr">
        <is>
          <t>D</t>
        </is>
      </c>
      <c r="J257" s="16" t="inlineStr">
        <is>
          <t>A</t>
        </is>
      </c>
    </row>
    <row r="258" ht="42" customHeight="1">
      <c r="A258" s="12" t="n">
        <v>257</v>
      </c>
      <c r="B258" s="13" t="inlineStr">
        <is>
          <t>Medium</t>
        </is>
      </c>
      <c r="C258" s="14" t="inlineStr">
        <is>
          <t>De Morgan’s Laws</t>
        </is>
      </c>
      <c r="D258" s="14" t="inlineStr">
        <is>
          <t>If A and B are subsets, then what is the complement of their union?</t>
        </is>
      </c>
      <c r="E258" s="14" t="inlineStr">
        <is>
          <t>(A ∪ B)' = A'</t>
        </is>
      </c>
      <c r="F258" s="14" t="inlineStr">
        <is>
          <t>A' ∪ B'</t>
        </is>
      </c>
      <c r="G258" s="14" t="inlineStr">
        <is>
          <t>(A ∪ B')</t>
        </is>
      </c>
      <c r="H258" s="14" t="inlineStr">
        <is>
          <t>B'</t>
        </is>
      </c>
      <c r="I258" s="15" t="inlineStr">
        <is>
          <t>D</t>
        </is>
      </c>
      <c r="J258" s="16" t="inlineStr">
        <is>
          <t>(A ∪ B)'</t>
        </is>
      </c>
    </row>
    <row r="259" ht="42" customHeight="1">
      <c r="A259" s="12" t="n">
        <v>258</v>
      </c>
      <c r="B259" s="13" t="inlineStr">
        <is>
          <t>Medium</t>
        </is>
      </c>
      <c r="C259" s="14" t="inlineStr">
        <is>
          <t>De Morgan’s Laws</t>
        </is>
      </c>
      <c r="D259" s="14" t="inlineStr">
        <is>
          <t>Let A and B be subsets. If (A ∩ B) = ∅, then what is the complement of their intersection?</t>
        </is>
      </c>
      <c r="E259" s="14" t="inlineStr">
        <is>
          <t>(A ∩ B)' = ?</t>
        </is>
      </c>
      <c r="F259" s="14" t="inlineStr">
        <is>
          <t>∅</t>
        </is>
      </c>
      <c r="G259" s="14" t="inlineStr">
        <is>
          <t>A'</t>
        </is>
      </c>
      <c r="H259" s="14" t="inlineStr">
        <is>
          <t>B'</t>
        </is>
      </c>
      <c r="I259" s="15" t="inlineStr">
        <is>
          <t>C</t>
        </is>
      </c>
      <c r="J259" s="16" t="inlineStr">
        <is>
          <t>(A ∪ B)</t>
        </is>
      </c>
    </row>
    <row r="260" ht="42" customHeight="1">
      <c r="A260" s="2" t="n">
        <v>259</v>
      </c>
      <c r="B260" s="3" t="inlineStr">
        <is>
          <t>Hard</t>
        </is>
      </c>
      <c r="C260" s="4" t="inlineStr">
        <is>
          <t>Complement of Sets</t>
        </is>
      </c>
      <c r="D260" s="4" t="inlineStr">
        <is>
          <t>Let U be the universal set, and A and B be two sets such that</t>
        </is>
      </c>
      <c r="E260" s="4" t="inlineStr">
        <is>
          <t>A ∩ B</t>
        </is>
      </c>
      <c r="F260" s="4">
        <f> 5. If</f>
        <v/>
      </c>
      <c r="G260" s="4" t="inlineStr">
        <is>
          <t>A</t>
        </is>
      </c>
      <c r="H260" s="4">
        <f> 10 and</f>
        <v/>
      </c>
      <c r="I260" s="5" t="inlineStr">
        <is>
          <t>B</t>
        </is>
      </c>
      <c r="J260" s="6">
        <f> 8, find</f>
        <v/>
      </c>
    </row>
    <row r="261" ht="42" customHeight="1">
      <c r="A261" s="2" t="n">
        <v>260</v>
      </c>
      <c r="B261" s="3" t="inlineStr">
        <is>
          <t>Hard</t>
        </is>
      </c>
      <c r="C261" s="4" t="inlineStr">
        <is>
          <t>Complement of Sets</t>
        </is>
      </c>
      <c r="D261" s="4" t="inlineStr">
        <is>
          <t>If A and B are two sets such that</t>
        </is>
      </c>
      <c r="E261" s="4" t="inlineStr">
        <is>
          <t>A ∪ B</t>
        </is>
      </c>
      <c r="F261" s="4">
        <f> 15,</f>
        <v/>
      </c>
      <c r="G261" s="4" t="inlineStr">
        <is>
          <t>A ∩ B</t>
        </is>
      </c>
      <c r="H261" s="4">
        <f> 3, and</f>
        <v/>
      </c>
      <c r="I261" s="5" t="inlineStr">
        <is>
          <t>A</t>
        </is>
      </c>
      <c r="J261" s="6">
        <f> 8, find</f>
        <v/>
      </c>
    </row>
    <row r="262" ht="42" customHeight="1">
      <c r="A262" s="2" t="n">
        <v>261</v>
      </c>
      <c r="B262" s="3" t="inlineStr">
        <is>
          <t>Hard</t>
        </is>
      </c>
      <c r="C262" s="4" t="inlineStr">
        <is>
          <t>Complement of Sets</t>
        </is>
      </c>
      <c r="D262" s="4" t="inlineStr">
        <is>
          <t>Let A and B be two sets such that</t>
        </is>
      </c>
      <c r="E262" s="4" t="inlineStr">
        <is>
          <t>A ∪ B</t>
        </is>
      </c>
      <c r="F262" s="4">
        <f> 12,</f>
        <v/>
      </c>
      <c r="G262" s="4" t="inlineStr">
        <is>
          <t>A ∩ B</t>
        </is>
      </c>
      <c r="H262" s="4">
        <f> 2, and</f>
        <v/>
      </c>
      <c r="I262" s="5" t="inlineStr">
        <is>
          <t>B</t>
        </is>
      </c>
      <c r="J262" s="6">
        <f> x. If</f>
        <v/>
      </c>
    </row>
    <row r="263" ht="42" customHeight="1">
      <c r="A263" s="2" t="n">
        <v>262</v>
      </c>
      <c r="B263" s="3" t="inlineStr">
        <is>
          <t>Hard</t>
        </is>
      </c>
      <c r="C263" s="4" t="inlineStr">
        <is>
          <t>Basic Set Concepts (elements, subsets, types of sets)</t>
        </is>
      </c>
      <c r="D263" s="4" t="inlineStr">
        <is>
          <t>Let U be the universal set containing all integers. Which of the following sets is NOT a subset of U?</t>
        </is>
      </c>
      <c r="E263" s="4" t="inlineStr">
        <is>
          <t>All real numbers</t>
        </is>
      </c>
      <c r="F263" s="4" t="inlineStr">
        <is>
          <t>All rational numbers</t>
        </is>
      </c>
      <c r="G263" s="4" t="inlineStr">
        <is>
          <t>All natural numbers</t>
        </is>
      </c>
      <c r="H263" s="4" t="inlineStr">
        <is>
          <t>The set of all imaginary numbers</t>
        </is>
      </c>
      <c r="I263" s="5" t="inlineStr">
        <is>
          <t>D</t>
        </is>
      </c>
      <c r="J263" s="6" t="inlineStr">
        <is>
          <t>The set of all imaginary numbers is not an integer.</t>
        </is>
      </c>
    </row>
    <row r="264" ht="42" customHeight="1">
      <c r="A264" s="2" t="n">
        <v>263</v>
      </c>
      <c r="B264" s="3" t="inlineStr">
        <is>
          <t>Hard</t>
        </is>
      </c>
      <c r="C264" s="4" t="inlineStr">
        <is>
          <t>Basic Set Concepts (elements, subsets, types of sets)</t>
        </is>
      </c>
      <c r="D264" s="4" t="inlineStr">
        <is>
          <t>If A and B are two finite sets such that</t>
        </is>
      </c>
      <c r="E264" s="4" t="inlineStr">
        <is>
          <t>A</t>
        </is>
      </c>
      <c r="F264" s="4">
        <f> 5 and</f>
        <v/>
      </c>
      <c r="G264" s="4" t="inlineStr">
        <is>
          <t>B</t>
        </is>
      </c>
      <c r="H264" s="4">
        <f> 3, which of the following statements is TRUE?</f>
        <v/>
      </c>
      <c r="I264" s="5" t="inlineStr">
        <is>
          <t>A</t>
        </is>
      </c>
      <c r="J264" s="6" t="inlineStr">
        <is>
          <t>A ∪ B has at least 6 elements</t>
        </is>
      </c>
    </row>
    <row r="265" ht="42" customHeight="1">
      <c r="A265" s="2" t="n">
        <v>264</v>
      </c>
      <c r="B265" s="3" t="inlineStr">
        <is>
          <t>Hard</t>
        </is>
      </c>
      <c r="C265" s="4" t="inlineStr">
        <is>
          <t>Basic Set Concepts (elements, subsets, types of sets)</t>
        </is>
      </c>
      <c r="D265" s="4" t="inlineStr">
        <is>
          <t>Let S be a set containing all prime numbers. Which of the following statements about S is TRUE?</t>
        </is>
      </c>
      <c r="E265" s="4" t="inlineStr">
        <is>
          <t>S is countably infinite</t>
        </is>
      </c>
      <c r="F265" s="4" t="inlineStr">
        <is>
          <t>S is uncountably infinite</t>
        </is>
      </c>
      <c r="G265" s="4" t="inlineStr">
        <is>
          <t>S has exactly 5 elements</t>
        </is>
      </c>
      <c r="H265" s="4" t="inlineStr">
        <is>
          <t>S contains only even numbers</t>
        </is>
      </c>
      <c r="I265" s="5" t="inlineStr">
        <is>
          <t>A</t>
        </is>
      </c>
      <c r="J265" s="6" t="inlineStr">
        <is>
          <t>Since prime numbers are infinite and not ordered, they form an uncountable set.</t>
        </is>
      </c>
    </row>
    <row r="266" ht="42" customHeight="1">
      <c r="A266" s="2" t="n">
        <v>265</v>
      </c>
      <c r="B266" s="3" t="inlineStr">
        <is>
          <t>Hard</t>
        </is>
      </c>
      <c r="C266" s="4" t="inlineStr">
        <is>
          <t>Basic Set Concepts (elements, subsets, types of sets)</t>
        </is>
      </c>
      <c r="D266" s="4" t="inlineStr">
        <is>
          <t>If A = {1, 2, 3} and B = {2, 4}, which of the following statements about A ∩ B is TRUE?</t>
        </is>
      </c>
      <c r="E266" s="4" t="inlineStr">
        <is>
          <t>A ∩ B has exactly one element</t>
        </is>
      </c>
      <c r="F266" s="4" t="inlineStr">
        <is>
          <t>A ∩ B has at most 2 elements</t>
        </is>
      </c>
      <c r="G266" s="4" t="inlineStr">
        <is>
          <t>A ∩ B has at least 2 elements</t>
        </is>
      </c>
      <c r="H266" s="4" t="inlineStr">
        <is>
          <t>A ∩ B is empty</t>
        </is>
      </c>
      <c r="I266" s="5" t="inlineStr">
        <is>
          <t>B</t>
        </is>
      </c>
      <c r="J266" s="6" t="inlineStr">
        <is>
          <t>Since A and B have common elements, their intersection has at least one element.</t>
        </is>
      </c>
    </row>
    <row r="267" ht="42" customHeight="1">
      <c r="A267" s="2" t="n">
        <v>266</v>
      </c>
      <c r="B267" s="3" t="inlineStr">
        <is>
          <t>Hard</t>
        </is>
      </c>
      <c r="C267" s="4" t="inlineStr">
        <is>
          <t>Word Problems using Sets</t>
        </is>
      </c>
      <c r="D267" s="4" t="inlineStr">
        <is>
          <t>A bakery sells 250 loaves of bread on Monday and 300 loaves on Tuesday. If the total number of loaves sold is 20% more than the number of students in a school, find the number of students in the school.</t>
        </is>
      </c>
      <c r="E267" s="4" t="inlineStr">
        <is>
          <t>225</t>
        </is>
      </c>
      <c r="F267" s="4" t="inlineStr">
        <is>
          <t>275</t>
        </is>
      </c>
      <c r="G267" s="4" t="inlineStr">
        <is>
          <t>315</t>
        </is>
      </c>
      <c r="H267" s="4" t="inlineStr">
        <is>
          <t>325</t>
        </is>
      </c>
      <c r="I267" s="5" t="inlineStr">
        <is>
          <t>D</t>
        </is>
      </c>
      <c r="J267" s="6" t="inlineStr">
        <is>
          <t>The difference between the number of loaves sold on Monday and Tuesday gives the increase in sales, which is 50. This represents 20% of the total number of students.</t>
        </is>
      </c>
    </row>
    <row r="268" ht="42" customHeight="1">
      <c r="A268" s="2" t="n">
        <v>267</v>
      </c>
      <c r="B268" s="3" t="inlineStr">
        <is>
          <t>Hard</t>
        </is>
      </c>
      <c r="C268" s="4" t="inlineStr">
        <is>
          <t>Word Problems using Sets</t>
        </is>
      </c>
      <c r="D268" s="4" t="inlineStr">
        <is>
          <t>A company has two types of employees: full-time (FT) and part-time (PT). If there are 120 FT employees and 80 PT employees, and the ratio of FT to PT employees is 3:2, find the total number of employees.</t>
        </is>
      </c>
      <c r="E268" s="4" t="inlineStr">
        <is>
          <t>200</t>
        </is>
      </c>
      <c r="F268" s="4" t="inlineStr">
        <is>
          <t>220</t>
        </is>
      </c>
      <c r="G268" s="4" t="inlineStr">
        <is>
          <t>240</t>
        </is>
      </c>
      <c r="H268" s="4" t="inlineStr">
        <is>
          <t>260</t>
        </is>
      </c>
      <c r="I268" s="5" t="inlineStr">
        <is>
          <t>C</t>
        </is>
      </c>
      <c r="J268" s="6" t="inlineStr">
        <is>
          <t>Let x be the number of PT employees. Then, 3x/2 = 120/x → 6x^2 = 72000 → x = 60.</t>
        </is>
      </c>
    </row>
    <row r="269" ht="42" customHeight="1">
      <c r="A269" s="2" t="n">
        <v>268</v>
      </c>
      <c r="B269" s="3" t="inlineStr">
        <is>
          <t>Hard</t>
        </is>
      </c>
      <c r="C269" s="4" t="inlineStr">
        <is>
          <t>Word Problems using Sets</t>
        </is>
      </c>
      <c r="D269" s="4" t="inlineStr">
        <is>
          <t>A library has three types of books: fiction (F), non-fiction (NF), and reference (R). If there are 150 F books, 200 NF books, and 50 R books, and the ratio of F to NF to R books is 2:3:1, find the total number of books.</t>
        </is>
      </c>
      <c r="E269" s="4" t="inlineStr">
        <is>
          <t>400</t>
        </is>
      </c>
      <c r="F269" s="4" t="inlineStr">
        <is>
          <t>450</t>
        </is>
      </c>
      <c r="G269" s="4" t="inlineStr">
        <is>
          <t>500</t>
        </is>
      </c>
      <c r="H269" s="4" t="inlineStr">
        <is>
          <t>550</t>
        </is>
      </c>
      <c r="I269" s="5" t="inlineStr">
        <is>
          <t>B</t>
        </is>
      </c>
      <c r="J269" s="6" t="inlineStr">
        <is>
          <t>Let x be the number of R books. Then, 2x/3 = 150/x → 6x^2 = 90000 → x = 50.</t>
        </is>
      </c>
    </row>
    <row r="270" ht="42" customHeight="1">
      <c r="A270" s="2" t="n">
        <v>269</v>
      </c>
      <c r="B270" s="3" t="inlineStr">
        <is>
          <t>Hard</t>
        </is>
      </c>
      <c r="C270" s="4" t="inlineStr">
        <is>
          <t>Word Problems using Sets</t>
        </is>
      </c>
      <c r="D270" s="4" t="inlineStr">
        <is>
          <t>A research institute has two types of researchers: permanent (P) and temporary (T). If there are 80 P researchers and 120 T researchers, and the ratio of P to T researchers is 3:5, find the total number of researchers.</t>
        </is>
      </c>
      <c r="E270" s="4" t="inlineStr">
        <is>
          <t>200</t>
        </is>
      </c>
      <c r="F270" s="4" t="inlineStr">
        <is>
          <t>220</t>
        </is>
      </c>
      <c r="G270" s="4" t="inlineStr">
        <is>
          <t>240</t>
        </is>
      </c>
      <c r="H270" s="4" t="inlineStr">
        <is>
          <t>260</t>
        </is>
      </c>
      <c r="I270" s="5" t="inlineStr">
        <is>
          <t>D</t>
        </is>
      </c>
      <c r="J270" s="6" t="inlineStr">
        <is>
          <t>Let x be the number of T researchers. Then, 3x/5 = 80/x → 6x^2 = 48000 → x = 120.</t>
        </is>
      </c>
    </row>
    <row r="271" ht="42" customHeight="1">
      <c r="A271" s="7" t="n">
        <v>270</v>
      </c>
      <c r="B271" s="8" t="inlineStr">
        <is>
          <t>Easy</t>
        </is>
      </c>
      <c r="C271" s="9" t="inlineStr">
        <is>
          <t>Word Problems using Sets</t>
        </is>
      </c>
      <c r="D271" s="9" t="inlineStr">
        <is>
          <t>A bakery sells 250 loaves of bread on Monday and 300 loaves on Tuesday. What is the set of all possible numbers of loaves sold on Wednesday?</t>
        </is>
      </c>
      <c r="E271" s="9" t="inlineStr">
        <is>
          <t>{200,201,...,399}</t>
        </is>
      </c>
      <c r="F271" s="9" t="inlineStr">
        <is>
          <t>{199,200,...,400}</t>
        </is>
      </c>
      <c r="G271" s="9" t="inlineStr">
        <is>
          <t>{198,199,...,401}</t>
        </is>
      </c>
      <c r="H271" s="9" t="inlineStr">
        <is>
          <t>{197,198,...,402}</t>
        </is>
      </c>
      <c r="I271" s="10" t="inlineStr">
        <is>
          <t>A</t>
        </is>
      </c>
      <c r="J271" s="11" t="inlineStr">
        <is>
          <t>The set of all possible numbers of loaves sold on Wednesday is the set of integers from 199 to 400.</t>
        </is>
      </c>
    </row>
    <row r="272" ht="42" customHeight="1">
      <c r="A272" s="7" t="n">
        <v>271</v>
      </c>
      <c r="B272" s="8" t="inlineStr">
        <is>
          <t>Easy</t>
        </is>
      </c>
      <c r="C272" s="9" t="inlineStr">
        <is>
          <t>Word Problems using Sets</t>
        </is>
      </c>
      <c r="D272" s="9" t="inlineStr">
        <is>
          <t>A student has a set of favorite TV shows: {Game of Thrones, The Office, Stranger Things}. If she also likes {Friends, Narcos}, what is the union of her sets?</t>
        </is>
      </c>
      <c r="E272" s="9" t="inlineStr">
        <is>
          <t>{Game of Thrones, The Office, Stranger Things, Friends, Narcos}</t>
        </is>
      </c>
      <c r="F272" s="9" t="inlineStr">
        <is>
          <t>{The Office, Stranger Things, Friends, Narcos}</t>
        </is>
      </c>
      <c r="G272" s="9" t="inlineStr">
        <is>
          <t>{Game of Thrones, Friends, Narcos}</t>
        </is>
      </c>
      <c r="H272" s="9" t="inlineStr">
        <is>
          <t>{Game of Thrones, The Office, Stranger Things, Friends}</t>
        </is>
      </c>
      <c r="I272" s="10" t="inlineStr">
        <is>
          <t>A</t>
        </is>
      </c>
      <c r="J272" s="11" t="inlineStr">
        <is>
          <t>The union of her sets is the set {Game of Thrones, The Office, Stranger Things, Friends, Narcos}.</t>
        </is>
      </c>
    </row>
    <row r="273" ht="42" customHeight="1">
      <c r="A273" s="7" t="n">
        <v>272</v>
      </c>
      <c r="B273" s="8" t="inlineStr">
        <is>
          <t>Easy</t>
        </is>
      </c>
      <c r="C273" s="9" t="inlineStr">
        <is>
          <t>Word Problems using Sets</t>
        </is>
      </c>
      <c r="D273" s="9" t="inlineStr">
        <is>
          <t>A library has a collection of 500 books on mathematics and 300 books on physics. What is the set of all possible numbers of books that can be taken out from the library?</t>
        </is>
      </c>
      <c r="E273" s="9" t="inlineStr">
        <is>
          <t>{200,201,...,800}</t>
        </is>
      </c>
      <c r="F273" s="9" t="inlineStr">
        <is>
          <t>{199,200,...,799}</t>
        </is>
      </c>
      <c r="G273" s="9" t="inlineStr">
        <is>
          <t>{198,199,...,798}</t>
        </is>
      </c>
      <c r="H273" s="9" t="inlineStr">
        <is>
          <t>{197,198,...,797}</t>
        </is>
      </c>
      <c r="I273" s="10" t="inlineStr">
        <is>
          <t>A</t>
        </is>
      </c>
      <c r="J273" s="11" t="inlineStr">
        <is>
          <t>The set of all possible numbers of books that can be taken out from the library is the set of integers from 1 to 800.</t>
        </is>
      </c>
    </row>
    <row r="274" ht="42" customHeight="1">
      <c r="A274" s="7" t="n">
        <v>273</v>
      </c>
      <c r="B274" s="8" t="inlineStr">
        <is>
          <t>Easy</t>
        </is>
      </c>
      <c r="C274" s="9" t="inlineStr">
        <is>
          <t>Word Problems using Sets</t>
        </is>
      </c>
      <c r="D274" s="9" t="inlineStr">
        <is>
          <t>A group of friends like {pizza, sushi, tacos} and another group likes {sushi, burgers}. What is the intersection of their sets?</t>
        </is>
      </c>
      <c r="E274" s="9" t="inlineStr">
        <is>
          <t>{sushi}</t>
        </is>
      </c>
      <c r="F274" s="9" t="inlineStr">
        <is>
          <t>{pizzas, sushi, burgers}</t>
        </is>
      </c>
      <c r="G274" s="9" t="inlineStr">
        <is>
          <t>{tacos, sushi, burgers}</t>
        </is>
      </c>
      <c r="H274" s="9" t="inlineStr">
        <is>
          <t>{pizzas, tacos, burgers}</t>
        </is>
      </c>
      <c r="I274" s="10" t="inlineStr">
        <is>
          <t>B</t>
        </is>
      </c>
      <c r="J274" s="11" t="inlineStr">
        <is>
          <t>The intersection of their sets is the set {sushi}.</t>
        </is>
      </c>
    </row>
    <row r="275" ht="42" customHeight="1">
      <c r="A275" s="2" t="n">
        <v>274</v>
      </c>
      <c r="B275" s="3" t="inlineStr">
        <is>
          <t>Hard</t>
        </is>
      </c>
      <c r="C275" s="4" t="inlineStr">
        <is>
          <t>Cardinality of Sets</t>
        </is>
      </c>
      <c r="D275" s="4" t="inlineStr">
        <is>
          <t>Let A, B, C be sets such that</t>
        </is>
      </c>
      <c r="E275" s="4" t="inlineStr">
        <is>
          <t>A</t>
        </is>
      </c>
      <c r="F275" s="4">
        <f> 5,</f>
        <v/>
      </c>
      <c r="G275" s="4" t="inlineStr">
        <is>
          <t>B</t>
        </is>
      </c>
      <c r="H275" s="4">
        <f> 3, and</f>
        <v/>
      </c>
      <c r="I275" s="5" t="inlineStr">
        <is>
          <t>C</t>
        </is>
      </c>
      <c r="J275" s="6">
        <f> 2. If</f>
        <v/>
      </c>
    </row>
    <row r="276" ht="42" customHeight="1">
      <c r="A276" s="2" t="n">
        <v>275</v>
      </c>
      <c r="B276" s="3" t="inlineStr">
        <is>
          <t>Hard</t>
        </is>
      </c>
      <c r="C276" s="4" t="inlineStr">
        <is>
          <t>Cardinality of Sets</t>
        </is>
      </c>
      <c r="D276" s="4" t="inlineStr">
        <is>
          <t>Let A, B be sets such that</t>
        </is>
      </c>
      <c r="E276" s="4" t="inlineStr">
        <is>
          <t>A</t>
        </is>
      </c>
      <c r="F276" s="4">
        <f> 3,</f>
        <v/>
      </c>
      <c r="G276" s="4" t="inlineStr">
        <is>
          <t>B</t>
        </is>
      </c>
      <c r="H276" s="4">
        <f> 4. If</f>
        <v/>
      </c>
      <c r="I276" s="5" t="inlineStr">
        <is>
          <t>A</t>
        </is>
      </c>
      <c r="J276" s="6">
        <f> 2 and</f>
        <v/>
      </c>
    </row>
    <row r="277" ht="42" customHeight="1">
      <c r="A277" s="7" t="n">
        <v>276</v>
      </c>
      <c r="B277" s="8" t="inlineStr">
        <is>
          <t>Easy</t>
        </is>
      </c>
      <c r="C277" s="9" t="inlineStr">
        <is>
          <t>Venn Diagram Problems (3 sets)</t>
        </is>
      </c>
      <c r="D277" s="9" t="inlineStr">
        <is>
          <t>Set A has 10 elements, set B has 5 elements. What is the maximum number of elements in their union?</t>
        </is>
      </c>
      <c r="E277" s="9" t="inlineStr">
        <is>
          <t>A) 12</t>
        </is>
      </c>
      <c r="F277" s="9" t="inlineStr">
        <is>
          <t>B) 15</t>
        </is>
      </c>
      <c r="G277" s="9" t="inlineStr">
        <is>
          <t>C) 18</t>
        </is>
      </c>
      <c r="H277" s="9" t="inlineStr">
        <is>
          <t>D) 20</t>
        </is>
      </c>
      <c r="I277" s="10" t="inlineStr">
        <is>
          <t>A</t>
        </is>
      </c>
      <c r="J277" s="11" t="inlineStr">
        <is>
          <t>Union of two sets always contains all elements from both sets.</t>
        </is>
      </c>
    </row>
    <row r="278" ht="42" customHeight="1">
      <c r="A278" s="7" t="n">
        <v>277</v>
      </c>
      <c r="B278" s="8" t="inlineStr">
        <is>
          <t>Easy</t>
        </is>
      </c>
      <c r="C278" s="9" t="inlineStr">
        <is>
          <t>Venn Diagram Problems (3 sets)</t>
        </is>
      </c>
      <c r="D278" s="9" t="inlineStr">
        <is>
          <t>Sets P and Q have 8 and 5 elements respectively. What is the minimum number of elements in their intersection?</t>
        </is>
      </c>
      <c r="E278" s="9" t="inlineStr">
        <is>
          <t>A) 0</t>
        </is>
      </c>
      <c r="F278" s="9" t="inlineStr">
        <is>
          <t>B) 1</t>
        </is>
      </c>
      <c r="G278" s="9" t="inlineStr">
        <is>
          <t>C) 2</t>
        </is>
      </c>
      <c r="H278" s="9" t="inlineStr">
        <is>
          <t>D) 4</t>
        </is>
      </c>
      <c r="I278" s="10" t="inlineStr">
        <is>
          <t>B</t>
        </is>
      </c>
      <c r="J278" s="11" t="inlineStr">
        <is>
          <t>Intersection always contains common elements.</t>
        </is>
      </c>
    </row>
    <row r="279" ht="42" customHeight="1">
      <c r="A279" s="7" t="n">
        <v>278</v>
      </c>
      <c r="B279" s="8" t="inlineStr">
        <is>
          <t>Easy</t>
        </is>
      </c>
      <c r="C279" s="9" t="inlineStr">
        <is>
          <t>Venn Diagram Problems (3 sets)</t>
        </is>
      </c>
      <c r="D279" s="9" t="inlineStr">
        <is>
          <t>Sets R, S, and T have 15, 10, and 5 elements respectively. What is the maximum number of elements in their union?</t>
        </is>
      </c>
      <c r="E279" s="9" t="inlineStr">
        <is>
          <t>A) 20</t>
        </is>
      </c>
      <c r="F279" s="9" t="inlineStr">
        <is>
          <t>B) 25</t>
        </is>
      </c>
      <c r="G279" s="9" t="inlineStr">
        <is>
          <t>C) 30</t>
        </is>
      </c>
      <c r="H279" s="9" t="inlineStr">
        <is>
          <t>D) 30</t>
        </is>
      </c>
      <c r="I279" s="10" t="inlineStr">
        <is>
          <t>B</t>
        </is>
      </c>
      <c r="J279" s="11" t="inlineStr">
        <is>
          <t>Union of three sets always contains all elements from all sets.</t>
        </is>
      </c>
    </row>
    <row r="280" ht="42" customHeight="1">
      <c r="A280" s="7" t="n">
        <v>279</v>
      </c>
      <c r="B280" s="8" t="inlineStr">
        <is>
          <t>Easy</t>
        </is>
      </c>
      <c r="C280" s="9" t="inlineStr">
        <is>
          <t>Venn Diagram Problems (3 sets)</t>
        </is>
      </c>
      <c r="D280" s="9" t="inlineStr">
        <is>
          <t>Sets X and Y have 12 and 8 elements respectively. What is the minimum number of elements in their difference?</t>
        </is>
      </c>
      <c r="E280" s="9" t="inlineStr">
        <is>
          <t>A) 0</t>
        </is>
      </c>
      <c r="F280" s="9" t="inlineStr">
        <is>
          <t>B) 2</t>
        </is>
      </c>
      <c r="G280" s="9" t="inlineStr">
        <is>
          <t>C) 4</t>
        </is>
      </c>
      <c r="H280" s="9" t="inlineStr">
        <is>
          <t>D) 6</t>
        </is>
      </c>
      <c r="I280" s="10" t="inlineStr">
        <is>
          <t>B</t>
        </is>
      </c>
      <c r="J280" s="11" t="inlineStr">
        <is>
          <t>Difference always contains elements from one set but not the other.</t>
        </is>
      </c>
    </row>
    <row r="281" ht="42" customHeight="1">
      <c r="A281" s="7" t="n">
        <v>280</v>
      </c>
      <c r="B281" s="8" t="inlineStr">
        <is>
          <t>Easy</t>
        </is>
      </c>
      <c r="C281" s="9" t="inlineStr">
        <is>
          <t>Set Identities and Properties</t>
        </is>
      </c>
      <c r="D281" s="9" t="inlineStr">
        <is>
          <t>(A ∩ B) ∪ C = ?</t>
        </is>
      </c>
      <c r="E281" s="9" t="inlineStr">
        <is>
          <t>(A ∩ B) ∪ C</t>
        </is>
      </c>
      <c r="F281" s="9" t="inlineStr">
        <is>
          <t>(A ∩ C) ∪ (B ∪ C)</t>
        </is>
      </c>
      <c r="G281" s="9" t="inlineStr">
        <is>
          <t>A ∪ (B ∩ C)</t>
        </is>
      </c>
      <c r="H281" s="9" t="inlineStr">
        <is>
          <t>C</t>
        </is>
      </c>
      <c r="I281" s="10" t="inlineStr">
        <is>
          <t>A</t>
        </is>
      </c>
      <c r="J281" s="11" t="inlineStr">
        <is>
          <t>Union of intersection with union.</t>
        </is>
      </c>
    </row>
    <row r="282" ht="42" customHeight="1">
      <c r="A282" s="7" t="n">
        <v>281</v>
      </c>
      <c r="B282" s="8" t="inlineStr">
        <is>
          <t>Easy</t>
        </is>
      </c>
      <c r="C282" s="9" t="inlineStr">
        <is>
          <t>Set Identities and Properties</t>
        </is>
      </c>
      <c r="D282" s="9" t="inlineStr">
        <is>
          <t>If A ⊆ B, then what is A ∩ B equal to?</t>
        </is>
      </c>
      <c r="E282" s="9" t="inlineStr">
        <is>
          <t>A</t>
        </is>
      </c>
      <c r="F282" s="9" t="inlineStr">
        <is>
          <t>B</t>
        </is>
      </c>
      <c r="G282" s="9" t="inlineStr">
        <is>
          <t>∅</t>
        </is>
      </c>
      <c r="H282" s="9" t="inlineStr">
        <is>
          <t>A ∩ B</t>
        </is>
      </c>
      <c r="I282" s="10" t="inlineStr">
        <is>
          <t>A</t>
        </is>
      </c>
      <c r="J282" s="11" t="inlineStr">
        <is>
          <t>Intersection of subset with superset.</t>
        </is>
      </c>
    </row>
    <row r="283" ht="42" customHeight="1">
      <c r="A283" s="7" t="n">
        <v>282</v>
      </c>
      <c r="B283" s="8" t="inlineStr">
        <is>
          <t>Easy</t>
        </is>
      </c>
      <c r="C283" s="9" t="inlineStr">
        <is>
          <t>Set Identities and Properties</t>
        </is>
      </c>
      <c r="D283" s="9" t="inlineStr">
        <is>
          <t>(A ∪ B) ∩ C = ?</t>
        </is>
      </c>
      <c r="E283" s="9" t="inlineStr">
        <is>
          <t>(A ∪ B) ∩ C</t>
        </is>
      </c>
      <c r="F283" s="9" t="inlineStr">
        <is>
          <t>(A ∩ C) ∪ (B ∩ C)</t>
        </is>
      </c>
      <c r="G283" s="9" t="inlineStr">
        <is>
          <t>A ∩ C</t>
        </is>
      </c>
      <c r="H283" s="9" t="inlineStr">
        <is>
          <t>B ∩ C</t>
        </is>
      </c>
      <c r="I283" s="10" t="inlineStr">
        <is>
          <t>A</t>
        </is>
      </c>
      <c r="J283" s="11" t="inlineStr">
        <is>
          <t>Intersection of union with set.</t>
        </is>
      </c>
    </row>
    <row r="284" ht="42" customHeight="1">
      <c r="A284" s="7" t="n">
        <v>283</v>
      </c>
      <c r="B284" s="8" t="inlineStr">
        <is>
          <t>Easy</t>
        </is>
      </c>
      <c r="C284" s="9" t="inlineStr">
        <is>
          <t>Venn Diagram Problems (2 sets)</t>
        </is>
      </c>
      <c r="D284" s="9" t="inlineStr">
        <is>
          <t>Let U be the universal set. If A ∩ B = {1, 3}, A ∪ B = {1, 2, 3, 4}, and</t>
        </is>
      </c>
      <c r="E284" s="9" t="inlineStr">
        <is>
          <t>A</t>
        </is>
      </c>
      <c r="F284" s="9">
        <f> 3, find</f>
        <v/>
      </c>
      <c r="G284" s="9" t="inlineStr">
        <is>
          <t>B</t>
        </is>
      </c>
      <c r="H284" s="9" t="inlineStr">
        <is>
          <t>. A) 2 B) 3 C) 4 D) 5</t>
        </is>
      </c>
      <c r="I284" s="10" t="inlineStr">
        <is>
          <t>C</t>
        </is>
      </c>
      <c r="J284" s="11" t="inlineStr">
        <is>
          <t>Since A ∪ B is the union of all elements in U that are in either A or B, it contains all elements in U except those in A ∩ B. Therefore,</t>
        </is>
      </c>
    </row>
    <row r="285" ht="42" customHeight="1">
      <c r="A285" s="7" t="n">
        <v>284</v>
      </c>
      <c r="B285" s="8" t="inlineStr">
        <is>
          <t>Easy</t>
        </is>
      </c>
      <c r="C285" s="9" t="inlineStr">
        <is>
          <t>Venn Diagram Problems (2 sets)</t>
        </is>
      </c>
      <c r="D285" s="9" t="inlineStr">
        <is>
          <t>If A and B are two sets such that A ∩ B = {x}, A \ B = {1, 2} and B \ A = {3, 4}, find</t>
        </is>
      </c>
      <c r="E285" s="9" t="inlineStr">
        <is>
          <t>A ∪ B</t>
        </is>
      </c>
      <c r="F285" s="9" t="inlineStr">
        <is>
          <t>. A) 5 B) 6 C) 7 D) 8</t>
        </is>
      </c>
      <c r="G285" s="9" t="inlineStr">
        <is>
          <t>B</t>
        </is>
      </c>
      <c r="H285" s="9" t="inlineStr">
        <is>
          <t>Since A ∪ B contains all elements in U that are in either A or B, it contains all elements except those in A ∩ B. Therefore,</t>
        </is>
      </c>
      <c r="I285" s="10" t="inlineStr">
        <is>
          <t>A</t>
        </is>
      </c>
      <c r="J285" s="11" t="inlineStr">
        <is>
          <t>=</t>
        </is>
      </c>
    </row>
    <row r="286" ht="42" customHeight="1">
      <c r="A286" s="7" t="n">
        <v>285</v>
      </c>
      <c r="B286" s="8" t="inlineStr">
        <is>
          <t>Easy</t>
        </is>
      </c>
      <c r="C286" s="9" t="inlineStr">
        <is>
          <t>Venn Diagram Problems (2 sets)</t>
        </is>
      </c>
      <c r="D286" s="9" t="inlineStr">
        <is>
          <t>Let A and B be two sets such that A ∩ B = {1}, A \ B = {2, 3} and B \ A = {4}. Find</t>
        </is>
      </c>
      <c r="E286" s="9" t="inlineStr">
        <is>
          <t>A ∪ B</t>
        </is>
      </c>
      <c r="F286" s="9" t="inlineStr">
        <is>
          <t>. A) 4 B) 5 C) 6 D) 7</t>
        </is>
      </c>
      <c r="G286" s="9" t="inlineStr">
        <is>
          <t>C</t>
        </is>
      </c>
      <c r="H286" s="9" t="inlineStr">
        <is>
          <t>Since A ∪ B contains all elements in U that are in either A or B, it contains all elements except those in A ∩ B. Therefore,</t>
        </is>
      </c>
      <c r="I286" s="10" t="inlineStr">
        <is>
          <t>A</t>
        </is>
      </c>
      <c r="J286" s="11" t="inlineStr">
        <is>
          <t>=</t>
        </is>
      </c>
    </row>
    <row r="287" ht="42" customHeight="1">
      <c r="A287" s="7" t="n">
        <v>286</v>
      </c>
      <c r="B287" s="8" t="inlineStr">
        <is>
          <t>Easy</t>
        </is>
      </c>
      <c r="C287" s="9" t="inlineStr">
        <is>
          <t>Venn Diagram Problems (2 sets)</t>
        </is>
      </c>
      <c r="D287" s="9" t="inlineStr">
        <is>
          <t>If A and B are two sets such that A ∩ B = {1, 2}, A \ B = {3} and B \ A = {4}, find</t>
        </is>
      </c>
      <c r="E287" s="9" t="inlineStr">
        <is>
          <t>A ∪ B</t>
        </is>
      </c>
      <c r="F287" s="9" t="inlineStr">
        <is>
          <t>. A) 5 B) 6 C) 7 D) 8</t>
        </is>
      </c>
      <c r="G287" s="9" t="inlineStr">
        <is>
          <t>D</t>
        </is>
      </c>
      <c r="H287" s="9" t="inlineStr">
        <is>
          <t>Since A ∪ B contains all elements in U that are in either A or B, it contains all elements except those in A ∩ B. Therefore,</t>
        </is>
      </c>
      <c r="I287" s="10" t="inlineStr">
        <is>
          <t>A</t>
        </is>
      </c>
      <c r="J287" s="11" t="inlineStr">
        <is>
          <t>=</t>
        </is>
      </c>
    </row>
    <row r="288" ht="42" customHeight="1">
      <c r="A288" s="12" t="n">
        <v>287</v>
      </c>
      <c r="B288" s="13" t="inlineStr">
        <is>
          <t>Medium</t>
        </is>
      </c>
      <c r="C288" s="14" t="inlineStr">
        <is>
          <t>Cardinality of Sets</t>
        </is>
      </c>
      <c r="D288" s="14" t="inlineStr">
        <is>
          <t>Let A and B be finite sets. If</t>
        </is>
      </c>
      <c r="E288" s="14" t="inlineStr">
        <is>
          <t>A</t>
        </is>
      </c>
      <c r="F288" s="14">
        <f> 5 and</f>
        <v/>
      </c>
      <c r="G288" s="14" t="inlineStr">
        <is>
          <t>B</t>
        </is>
      </c>
      <c r="H288" s="14">
        <f> 7, which of the following is true?</f>
        <v/>
      </c>
      <c r="I288" s="15" t="inlineStr">
        <is>
          <t>A</t>
        </is>
      </c>
      <c r="J288" s="16" t="inlineStr">
        <is>
          <t>B has a larger cardinality than A</t>
        </is>
      </c>
    </row>
    <row r="289" ht="42" customHeight="1">
      <c r="A289" s="12" t="n">
        <v>288</v>
      </c>
      <c r="B289" s="13" t="inlineStr">
        <is>
          <t>Medium</t>
        </is>
      </c>
      <c r="C289" s="14" t="inlineStr">
        <is>
          <t>Cardinality of Sets</t>
        </is>
      </c>
      <c r="D289" s="14" t="inlineStr">
        <is>
          <t>Let A and B be sets. If</t>
        </is>
      </c>
      <c r="E289" s="14" t="inlineStr">
        <is>
          <t>A</t>
        </is>
      </c>
      <c r="F289" s="14">
        <f> 9,</f>
        <v/>
      </c>
      <c r="G289" s="14" t="inlineStr">
        <is>
          <t>B</t>
        </is>
      </c>
      <c r="H289" s="14">
        <f> 12, and</f>
        <v/>
      </c>
      <c r="I289" s="15" t="inlineStr">
        <is>
          <t>A</t>
        </is>
      </c>
      <c r="J289" s="16">
        <f> 18, what is the value of</f>
        <v/>
      </c>
    </row>
    <row r="290" ht="42" customHeight="1">
      <c r="A290" s="12" t="n">
        <v>289</v>
      </c>
      <c r="B290" s="13" t="inlineStr">
        <is>
          <t>Medium</t>
        </is>
      </c>
      <c r="C290" s="14" t="inlineStr">
        <is>
          <t>Venn Diagram Problems (3 sets)</t>
        </is>
      </c>
      <c r="D290" s="14" t="inlineStr">
        <is>
          <t>Three sets U, A, and B satisfy UAUB. If</t>
        </is>
      </c>
      <c r="E290" s="14" t="inlineStr">
        <is>
          <t>U</t>
        </is>
      </c>
      <c r="F290" s="14">
        <f>24,</f>
        <v/>
      </c>
      <c r="G290" s="14" t="inlineStr">
        <is>
          <t>A</t>
        </is>
      </c>
      <c r="H290" s="14">
        <f>16, and</f>
        <v/>
      </c>
      <c r="I290" s="15" t="inlineStr">
        <is>
          <t>B</t>
        </is>
      </c>
      <c r="J290" s="16">
        <f>12, find</f>
        <v/>
      </c>
    </row>
    <row r="291" ht="42" customHeight="1">
      <c r="A291" s="12" t="n">
        <v>290</v>
      </c>
      <c r="B291" s="13" t="inlineStr">
        <is>
          <t>Medium</t>
        </is>
      </c>
      <c r="C291" s="14" t="inlineStr">
        <is>
          <t>Operations on Sets (union, intersection, difference)</t>
        </is>
      </c>
      <c r="D291" s="14" t="inlineStr">
        <is>
          <t>Let A = {1, 2, 3} and B = {2, 4, 6}. Find A ∩ B</t>
        </is>
      </c>
      <c r="E291" s="14" t="inlineStr">
        <is>
          <t>{2}</t>
        </is>
      </c>
      <c r="F291" s="14" t="inlineStr">
        <is>
          <t>A and B have one common element</t>
        </is>
      </c>
      <c r="G291" s="14" t="inlineStr">
        <is>
          <t>B</t>
        </is>
      </c>
      <c r="H291" s="14" t="inlineStr">
        <is>
          <t>C</t>
        </is>
      </c>
      <c r="I291" s="15" t="inlineStr">
        <is>
          <t>D</t>
        </is>
      </c>
      <c r="J291" s="16" t="inlineStr">
        <is>
          <t>B</t>
        </is>
      </c>
    </row>
    <row r="292" ht="42" customHeight="1">
      <c r="A292" s="12" t="n">
        <v>291</v>
      </c>
      <c r="B292" s="13" t="inlineStr">
        <is>
          <t>Medium</t>
        </is>
      </c>
      <c r="C292" s="14" t="inlineStr">
        <is>
          <t>Operations on Sets (union, intersection, difference)</t>
        </is>
      </c>
      <c r="D292" s="14" t="inlineStr">
        <is>
          <t>Given sets X = {a, b, c} and Y = {b, d, e}. Find X ∪ Y</t>
        </is>
      </c>
      <c r="E292" s="14" t="inlineStr">
        <is>
          <t>{a, b, c, d, e}</t>
        </is>
      </c>
      <c r="F292" s="14" t="inlineStr">
        <is>
          <t>All elements from both sets combined</t>
        </is>
      </c>
      <c r="G292" s="14" t="inlineStr">
        <is>
          <t>A</t>
        </is>
      </c>
      <c r="H292" s="14" t="inlineStr">
        <is>
          <t>B</t>
        </is>
      </c>
      <c r="I292" s="15" t="inlineStr">
        <is>
          <t>C</t>
        </is>
      </c>
      <c r="J292" s="16" t="inlineStr">
        <is>
          <t>D</t>
        </is>
      </c>
    </row>
    <row r="293" ht="42" customHeight="1">
      <c r="A293" s="12" t="n">
        <v>292</v>
      </c>
      <c r="B293" s="13" t="inlineStr">
        <is>
          <t>Medium</t>
        </is>
      </c>
      <c r="C293" s="14" t="inlineStr">
        <is>
          <t>Operations on Sets (union, intersection, difference)</t>
        </is>
      </c>
      <c r="D293" s="14" t="inlineStr">
        <is>
          <t>Let P = {x, y} and Q = {y, z}. Find P ∩ Q</t>
        </is>
      </c>
      <c r="E293" s="14" t="inlineStr">
        <is>
          <t>{y}</t>
        </is>
      </c>
      <c r="F293" s="14" t="inlineStr">
        <is>
          <t>P and Q share the element y</t>
        </is>
      </c>
      <c r="G293" s="14" t="inlineStr">
        <is>
          <t>A</t>
        </is>
      </c>
      <c r="H293" s="14" t="inlineStr">
        <is>
          <t>B</t>
        </is>
      </c>
      <c r="I293" s="15" t="inlineStr">
        <is>
          <t>C</t>
        </is>
      </c>
      <c r="J293" s="16" t="inlineStr">
        <is>
          <t>D</t>
        </is>
      </c>
    </row>
    <row r="294" ht="42" customHeight="1">
      <c r="A294" s="12" t="n">
        <v>293</v>
      </c>
      <c r="B294" s="13" t="inlineStr">
        <is>
          <t>Medium</t>
        </is>
      </c>
      <c r="C294" s="14" t="inlineStr">
        <is>
          <t>Operations on Sets (union, intersection, difference)</t>
        </is>
      </c>
      <c r="D294" s="14" t="inlineStr">
        <is>
          <t>Given sets M = {1, 2} and N = {2, 3}. Find M ∖ N</t>
        </is>
      </c>
      <c r="E294" s="14" t="inlineStr">
        <is>
          <t>{1}</t>
        </is>
      </c>
      <c r="F294" s="14" t="inlineStr">
        <is>
          <t>Elements unique to set M</t>
        </is>
      </c>
      <c r="G294" s="14" t="inlineStr">
        <is>
          <t>A</t>
        </is>
      </c>
      <c r="H294" s="14" t="inlineStr">
        <is>
          <t>B</t>
        </is>
      </c>
      <c r="I294" s="15" t="inlineStr">
        <is>
          <t>C</t>
        </is>
      </c>
      <c r="J294" s="16" t="inlineStr">
        <is>
          <t>D</t>
        </is>
      </c>
    </row>
    <row r="295" ht="42" customHeight="1">
      <c r="A295" s="12" t="n">
        <v>294</v>
      </c>
      <c r="B295" s="13" t="inlineStr">
        <is>
          <t>Medium</t>
        </is>
      </c>
      <c r="C295" s="14" t="inlineStr">
        <is>
          <t>Complement of Sets</t>
        </is>
      </c>
      <c r="D295" s="14" t="inlineStr">
        <is>
          <t>Let U be the universal set, and A and B be two sets such that A ∩ B = {x}. If</t>
        </is>
      </c>
      <c r="E295" s="14" t="inlineStr">
        <is>
          <t>A</t>
        </is>
      </c>
      <c r="F295" s="14">
        <f> 12 and</f>
        <v/>
      </c>
      <c r="G295" s="14" t="inlineStr">
        <is>
          <t>B</t>
        </is>
      </c>
      <c r="H295" s="14">
        <f> 8, then</f>
        <v/>
      </c>
      <c r="I295" s="15" t="inlineStr">
        <is>
          <t>A</t>
        </is>
      </c>
      <c r="J295" s="16" t="inlineStr">
        <is>
          <t>is equal to...</t>
        </is>
      </c>
    </row>
    <row r="296" ht="42" customHeight="1">
      <c r="A296" s="2" t="n">
        <v>295</v>
      </c>
      <c r="B296" s="3" t="inlineStr">
        <is>
          <t>Hard</t>
        </is>
      </c>
      <c r="C296" s="4" t="inlineStr">
        <is>
          <t>Venn Diagram Problems (2 sets)</t>
        </is>
      </c>
      <c r="D296" s="4" t="inlineStr">
        <is>
          <t>Let U be the universal set containing all students in a university. If A is the set of students who have studied mathematics, B is the set of students who have studied computer science, and C is the set of students who have studied both mathematics and computer science, which of the following is true?</t>
        </is>
      </c>
      <c r="E296" s="4" t="inlineStr">
        <is>
          <t>A∩B⊆C</t>
        </is>
      </c>
      <c r="F296" s="4" t="inlineStr">
        <is>
          <t>A∪B⊇C</t>
        </is>
      </c>
      <c r="G296" s="4" t="inlineStr">
        <is>
          <t>A∩B=C</t>
        </is>
      </c>
      <c r="H296" s="4" t="inlineStr">
        <is>
          <t>A∩B⊂C</t>
        </is>
      </c>
      <c r="I296" s="5" t="inlineStr">
        <is>
          <t>D</t>
        </is>
      </c>
      <c r="J296" s="6" t="inlineStr">
        <is>
          <t>The correct statement is A∩B⊆C because all students who have studied both math and CS are included in C, but not necessarily vice versa.</t>
        </is>
      </c>
    </row>
    <row r="297" ht="42" customHeight="1">
      <c r="A297" s="2" t="n">
        <v>296</v>
      </c>
      <c r="B297" s="3" t="inlineStr">
        <is>
          <t>Hard</t>
        </is>
      </c>
      <c r="C297" s="4" t="inlineStr">
        <is>
          <t>Venn Diagram Problems (2 sets)</t>
        </is>
      </c>
      <c r="D297" s="4" t="inlineStr">
        <is>
          <t>In a certain city, 30% of the population has watched movie X, 20% has watched movie Y, and 10% has watched both. What is the minimum possible number of people who have watched at least one of the movies?</t>
        </is>
      </c>
      <c r="E297" s="4" t="inlineStr">
        <is>
          <t>25</t>
        </is>
      </c>
      <c r="F297" s="4" t="inlineStr">
        <is>
          <t>27</t>
        </is>
      </c>
      <c r="G297" s="4" t="inlineStr">
        <is>
          <t>29</t>
        </is>
      </c>
      <c r="H297" s="4" t="inlineStr">
        <is>
          <t>31</t>
        </is>
      </c>
      <c r="I297" s="5" t="inlineStr">
        <is>
          <t>A</t>
        </is>
      </c>
      <c r="J297" s="6" t="inlineStr">
        <is>
          <t>The minimum number of people who have watched at least one movie is the sum of the two sets minus the intersection: 30 + 20 - 10 = 40, but since we want the minimum possible number, we round down to 39.</t>
        </is>
      </c>
    </row>
    <row r="298" ht="42" customHeight="1">
      <c r="A298" s="2" t="n">
        <v>297</v>
      </c>
      <c r="B298" s="3" t="inlineStr">
        <is>
          <t>Hard</t>
        </is>
      </c>
      <c r="C298" s="4" t="inlineStr">
        <is>
          <t>Venn Diagram Problems (2 sets)</t>
        </is>
      </c>
      <c r="D298" s="4" t="inlineStr">
        <is>
          <t>Let A and B be two sets such that</t>
        </is>
      </c>
      <c r="E298" s="4" t="inlineStr">
        <is>
          <t>A</t>
        </is>
      </c>
      <c r="F298" s="4">
        <f>15,</f>
        <v/>
      </c>
      <c r="G298" s="4" t="inlineStr">
        <is>
          <t>B</t>
        </is>
      </c>
      <c r="H298" s="4">
        <f>20, and</f>
        <v/>
      </c>
      <c r="I298" s="5" t="inlineStr">
        <is>
          <t>A</t>
        </is>
      </c>
      <c r="J298" s="6">
        <f>5. What is the maximum possible value of</f>
        <v/>
      </c>
    </row>
    <row r="299" ht="42" customHeight="1">
      <c r="A299" s="2" t="n">
        <v>298</v>
      </c>
      <c r="B299" s="3" t="inlineStr">
        <is>
          <t>Hard</t>
        </is>
      </c>
      <c r="C299" s="4" t="inlineStr">
        <is>
          <t>Venn Diagram Problems (2 sets)</t>
        </is>
      </c>
      <c r="D299" s="4" t="inlineStr">
        <is>
          <t>In a certain company, 60% of the employees have a bachelor's degree, 40% have a master's degree, and 20% have both. What is the minimum possible number of employees who do not have a master's degree?</t>
        </is>
      </c>
      <c r="E299" s="4" t="inlineStr">
        <is>
          <t>30</t>
        </is>
      </c>
      <c r="F299" s="4" t="inlineStr">
        <is>
          <t>32</t>
        </is>
      </c>
      <c r="G299" s="4" t="inlineStr">
        <is>
          <t>34</t>
        </is>
      </c>
      <c r="H299" s="4" t="inlineStr">
        <is>
          <t>36</t>
        </is>
      </c>
      <c r="I299" s="5" t="inlineStr">
        <is>
          <t>A</t>
        </is>
      </c>
      <c r="J299" s="6" t="inlineStr">
        <is>
          <t>The minimum number of employees who do not have a master's degree is the sum of the two sets minus the intersection: 60 + 40 - 20 = 80, but since we want the minimum possible number, we round down to 78.</t>
        </is>
      </c>
    </row>
    <row r="300" ht="42" customHeight="1">
      <c r="A300" s="12" t="n">
        <v>299</v>
      </c>
      <c r="B300" s="13" t="inlineStr">
        <is>
          <t>Medium</t>
        </is>
      </c>
      <c r="C300" s="14" t="inlineStr">
        <is>
          <t>Basic Set Concepts (elements, subsets, types of sets)</t>
        </is>
      </c>
      <c r="D300" s="14" t="inlineStr">
        <is>
          <t>If A = {1, 2, 3} and B = {2, 3, 4}, what is the union of sets A and B?</t>
        </is>
      </c>
      <c r="E300" s="14" t="inlineStr">
        <is>
          <t>{1,2,3,4}</t>
        </is>
      </c>
      <c r="F300" s="14" t="inlineStr">
        <is>
          <t>{1,2,3,5}</t>
        </is>
      </c>
      <c r="G300" s="14" t="inlineStr">
        <is>
          <t>{1,2,3,4,5}</t>
        </is>
      </c>
      <c r="H300" s="14" t="inlineStr">
        <is>
          <t>{1,3,4,5}</t>
        </is>
      </c>
      <c r="I300" s="15" t="inlineStr">
        <is>
          <t>C</t>
        </is>
      </c>
      <c r="J300" s="16" t="inlineStr">
        <is>
          <t>The union of two sets is the set of all elements that are in either set.</t>
        </is>
      </c>
    </row>
    <row r="301" ht="42" customHeight="1">
      <c r="A301" s="12" t="n">
        <v>300</v>
      </c>
      <c r="B301" s="13" t="inlineStr">
        <is>
          <t>Medium</t>
        </is>
      </c>
      <c r="C301" s="14" t="inlineStr">
        <is>
          <t>Basic Set Concepts (elements, subsets, types of sets)</t>
        </is>
      </c>
      <c r="D301" s="14" t="inlineStr">
        <is>
          <t>Let A = {a, b} and B = {b, c}. What is the intersection of sets A and B?</t>
        </is>
      </c>
      <c r="E301" s="14" t="inlineStr">
        <is>
          <t>{b}</t>
        </is>
      </c>
      <c r="F301" s="14" t="inlineStr">
        <is>
          <t>{a,c}</t>
        </is>
      </c>
      <c r="G301" s="14" t="inlineStr">
        <is>
          <t>{b,c}</t>
        </is>
      </c>
      <c r="H301" s="14" t="inlineStr">
        <is>
          <t>{}</t>
        </is>
      </c>
      <c r="I301" s="15" t="inlineStr">
        <is>
          <t>D</t>
        </is>
      </c>
      <c r="J301" s="16" t="inlineStr">
        <is>
          <t>The intersection of two sets is the set of all elements that are in both sets.</t>
        </is>
      </c>
    </row>
    <row r="302" ht="42" customHeight="1">
      <c r="A302" s="7" t="n">
        <v>301</v>
      </c>
      <c r="B302" s="8" t="inlineStr">
        <is>
          <t>Easy</t>
        </is>
      </c>
      <c r="C302" s="9" t="inlineStr">
        <is>
          <t>De Morgan’s Laws</t>
        </is>
      </c>
      <c r="D302" s="9" t="inlineStr">
        <is>
          <t>(A ∩ B)′ = ?</t>
        </is>
      </c>
      <c r="E302" s="9" t="inlineStr">
        <is>
          <t>A′ ∪ B′</t>
        </is>
      </c>
      <c r="F302" s="9" t="inlineStr">
        <is>
          <t>B′ ∪ A′</t>
        </is>
      </c>
      <c r="G302" s="9" t="inlineStr">
        <is>
          <t>A′ ∪ B′</t>
        </is>
      </c>
      <c r="H302" s="9" t="inlineStr">
        <is>
          <t>B′ ∪ A′</t>
        </is>
      </c>
      <c r="I302" s="10" t="inlineStr">
        <is>
          <t>A</t>
        </is>
      </c>
      <c r="J302" s="11" t="inlineStr">
        <is>
          <t>The complement of the intersection is equal to the union of complements.</t>
        </is>
      </c>
    </row>
    <row r="303" ht="42" customHeight="1">
      <c r="A303" s="7" t="n">
        <v>302</v>
      </c>
      <c r="B303" s="8" t="inlineStr">
        <is>
          <t>Easy</t>
        </is>
      </c>
      <c r="C303" s="9" t="inlineStr">
        <is>
          <t>De Morgan’s Laws</t>
        </is>
      </c>
      <c r="D303" s="9" t="inlineStr">
        <is>
          <t>(A ∪ B)′ = ?</t>
        </is>
      </c>
      <c r="E303" s="9" t="inlineStr">
        <is>
          <t>A′ ∩ B′</t>
        </is>
      </c>
      <c r="F303" s="9" t="inlineStr">
        <is>
          <t>A′ ∪ B′</t>
        </is>
      </c>
      <c r="G303" s="9" t="inlineStr">
        <is>
          <t>A′ ∩ B′</t>
        </is>
      </c>
      <c r="H303" s="9" t="inlineStr">
        <is>
          <t>B′ ∪ A′</t>
        </is>
      </c>
      <c r="I303" s="10" t="inlineStr">
        <is>
          <t>A</t>
        </is>
      </c>
      <c r="J303" s="11" t="inlineStr">
        <is>
          <t>The complement of the union is equal to the intersection of complements.</t>
        </is>
      </c>
    </row>
    <row r="304" ht="42" customHeight="1">
      <c r="A304" s="12" t="n">
        <v>303</v>
      </c>
      <c r="B304" s="13" t="inlineStr">
        <is>
          <t>Medium</t>
        </is>
      </c>
      <c r="C304" s="14" t="inlineStr">
        <is>
          <t>Venn Diagram Problems (2 sets)</t>
        </is>
      </c>
      <c r="D304" s="14" t="inlineStr">
        <is>
          <t>Let U be the universal set, A and B be two sets. If</t>
        </is>
      </c>
      <c r="E304" s="14" t="inlineStr">
        <is>
          <t>A∩B</t>
        </is>
      </c>
      <c r="F304" s="14">
        <f>10,</f>
        <v/>
      </c>
      <c r="G304" s="14" t="inlineStr">
        <is>
          <t>A</t>
        </is>
      </c>
      <c r="H304" s="14">
        <f>25, and</f>
        <v/>
      </c>
      <c r="I304" s="15" t="inlineStr">
        <is>
          <t>B</t>
        </is>
      </c>
      <c r="J304" s="16">
        <f>20, find</f>
        <v/>
      </c>
    </row>
    <row r="305" ht="42" customHeight="1">
      <c r="A305" s="12" t="n">
        <v>304</v>
      </c>
      <c r="B305" s="13" t="inlineStr">
        <is>
          <t>Medium</t>
        </is>
      </c>
      <c r="C305" s="14" t="inlineStr">
        <is>
          <t>Venn Diagram Problems (2 sets)</t>
        </is>
      </c>
      <c r="D305" s="14" t="inlineStr">
        <is>
          <t>Sets A and B are represented by the following Venn diagram. If</t>
        </is>
      </c>
      <c r="E305" s="14" t="inlineStr">
        <is>
          <t>A</t>
        </is>
      </c>
      <c r="F305" s="14">
        <f>12,</f>
        <v/>
      </c>
      <c r="G305" s="14" t="inlineStr">
        <is>
          <t>B</t>
        </is>
      </c>
      <c r="H305" s="14">
        <f>8, and</f>
        <v/>
      </c>
      <c r="I305" s="15" t="inlineStr">
        <is>
          <t>A</t>
        </is>
      </c>
      <c r="J305" s="16">
        <f>3, find</f>
        <v/>
      </c>
    </row>
    <row r="306" ht="42" customHeight="1">
      <c r="A306" s="12" t="n">
        <v>305</v>
      </c>
      <c r="B306" s="13" t="inlineStr">
        <is>
          <t>Medium</t>
        </is>
      </c>
      <c r="C306" s="14" t="inlineStr">
        <is>
          <t>Venn Diagram Problems (2 sets)</t>
        </is>
      </c>
      <c r="D306" s="14" t="inlineStr">
        <is>
          <t>Let A and B be two sets. If</t>
        </is>
      </c>
      <c r="E306" s="14" t="inlineStr">
        <is>
          <t>A∪B</t>
        </is>
      </c>
      <c r="F306" s="14">
        <f>30,</f>
        <v/>
      </c>
      <c r="G306" s="14" t="inlineStr">
        <is>
          <t>A∩B</t>
        </is>
      </c>
      <c r="H306" s="14">
        <f>5, and</f>
        <v/>
      </c>
      <c r="I306" s="15" t="inlineStr">
        <is>
          <t>A</t>
        </is>
      </c>
      <c r="J306" s="16">
        <f>18, find</f>
        <v/>
      </c>
    </row>
    <row r="307" ht="42" customHeight="1">
      <c r="A307" s="12" t="n">
        <v>306</v>
      </c>
      <c r="B307" s="13" t="inlineStr">
        <is>
          <t>Medium</t>
        </is>
      </c>
      <c r="C307" s="14" t="inlineStr">
        <is>
          <t>Word Problems using Sets</t>
        </is>
      </c>
      <c r="D307" s="14" t="inlineStr">
        <is>
          <t>A bakery offers two types of cookies, chocolate and vanilla. If 1/3 of the cookies sold are chocolate and 2/5 of the cookies sold are vanilla, what fraction of the total cookies sold is neither chocolate nor vanilla?</t>
        </is>
      </c>
      <c r="E307" s="14" t="inlineStr">
        <is>
          <t>0</t>
        </is>
      </c>
      <c r="F307" s="14" t="inlineStr">
        <is>
          <t>1/15</t>
        </is>
      </c>
      <c r="G307" s="14" t="inlineStr">
        <is>
          <t>1/6</t>
        </is>
      </c>
      <c r="H307" s="14" t="inlineStr">
        <is>
          <t>2/3</t>
        </is>
      </c>
      <c r="I307" s="15" t="inlineStr">
        <is>
          <t>D</t>
        </is>
      </c>
      <c r="J307" s="16" t="inlineStr">
        <is>
          <t>Use Venn diagram to find the complement set.</t>
        </is>
      </c>
    </row>
    <row r="308" ht="42" customHeight="1">
      <c r="A308" s="12" t="n">
        <v>307</v>
      </c>
      <c r="B308" s="13" t="inlineStr">
        <is>
          <t>Medium</t>
        </is>
      </c>
      <c r="C308" s="14" t="inlineStr">
        <is>
          <t>Word Problems using Sets</t>
        </is>
      </c>
      <c r="D308" s="14" t="inlineStr">
        <is>
          <t>A company has two types of employees: full-time and part-time. If 3/5 of the employees are full-time and 2/3 of the full-time employees are also part-time, what fraction of the total employees is neither full-time nor part-time?</t>
        </is>
      </c>
      <c r="E308" s="14" t="inlineStr">
        <is>
          <t>1/15</t>
        </is>
      </c>
      <c r="F308" s="14" t="inlineStr">
        <is>
          <t>1/6</t>
        </is>
      </c>
      <c r="G308" s="14" t="inlineStr">
        <is>
          <t>0</t>
        </is>
      </c>
      <c r="H308" s="14" t="inlineStr">
        <is>
          <t>2/3</t>
        </is>
      </c>
      <c r="I308" s="15" t="inlineStr">
        <is>
          <t>A</t>
        </is>
      </c>
      <c r="J308" s="16" t="inlineStr">
        <is>
          <t>Use Venn diagram to find the complement set.</t>
        </is>
      </c>
    </row>
    <row r="309" ht="42" customHeight="1">
      <c r="A309" s="12" t="n">
        <v>308</v>
      </c>
      <c r="B309" s="13" t="inlineStr">
        <is>
          <t>Medium</t>
        </is>
      </c>
      <c r="C309" s="14" t="inlineStr">
        <is>
          <t>Word Problems using Sets</t>
        </is>
      </c>
      <c r="D309" s="14" t="inlineStr">
        <is>
          <t>A student has three favorite TV shows: A, B, and C. If she watches show A 2/5 of the time, show B 3/7 of the time, and show C 1/4 of the time, what fraction of the total time does she not watch any of her favorite shows?</t>
        </is>
      </c>
      <c r="E309" s="14" t="inlineStr">
        <is>
          <t>0</t>
        </is>
      </c>
      <c r="F309" s="14" t="inlineStr">
        <is>
          <t>1/20</t>
        </is>
      </c>
      <c r="G309" s="14" t="inlineStr">
        <is>
          <t>1/14</t>
        </is>
      </c>
      <c r="H309" s="14" t="inlineStr">
        <is>
          <t>3/10</t>
        </is>
      </c>
      <c r="I309" s="15" t="inlineStr">
        <is>
          <t>C</t>
        </is>
      </c>
      <c r="J309" s="16" t="inlineStr">
        <is>
          <t>Use Venn diagram to find the complement set.</t>
        </is>
      </c>
    </row>
    <row r="310" ht="42" customHeight="1">
      <c r="A310" s="12" t="n">
        <v>309</v>
      </c>
      <c r="B310" s="13" t="inlineStr">
        <is>
          <t>Medium</t>
        </is>
      </c>
      <c r="C310" s="14" t="inlineStr">
        <is>
          <t>Word Problems using Sets</t>
        </is>
      </c>
      <c r="D310" s="14" t="inlineStr">
        <is>
          <t>A library has two types of books: fiction and non-fiction. If 2/5 of the books are fiction and 3/4 of the fiction books are also non-fiction, what fraction of the total books is neither fiction nor non-fiction?</t>
        </is>
      </c>
      <c r="E310" s="14" t="inlineStr">
        <is>
          <t>1/20</t>
        </is>
      </c>
      <c r="F310" s="14" t="inlineStr">
        <is>
          <t>0</t>
        </is>
      </c>
      <c r="G310" s="14" t="inlineStr">
        <is>
          <t>1/10</t>
        </is>
      </c>
      <c r="H310" s="14" t="inlineStr">
        <is>
          <t>2/5</t>
        </is>
      </c>
      <c r="I310" s="15" t="inlineStr">
        <is>
          <t>B</t>
        </is>
      </c>
      <c r="J310" s="16" t="inlineStr">
        <is>
          <t>Use Venn diagram to find the complement set.</t>
        </is>
      </c>
    </row>
    <row r="311" ht="42" customHeight="1">
      <c r="A311" s="2" t="n">
        <v>310</v>
      </c>
      <c r="B311" s="3" t="inlineStr">
        <is>
          <t>Hard</t>
        </is>
      </c>
      <c r="C311" s="4" t="inlineStr">
        <is>
          <t>Venn Diagram Problems (3 sets)</t>
        </is>
      </c>
      <c r="D311" s="4" t="inlineStr">
        <is>
          <t>In a survey of 100 students, 60 like mathematics, 70 like science. If 10 students like both subjects, find the number of students who like only one subject.</t>
        </is>
      </c>
      <c r="E311" s="4" t="inlineStr">
        <is>
          <t>40</t>
        </is>
      </c>
      <c r="F311" s="4" t="inlineStr">
        <is>
          <t>50</t>
        </is>
      </c>
      <c r="G311" s="4" t="inlineStr">
        <is>
          <t>30</t>
        </is>
      </c>
      <c r="H311" s="4" t="inlineStr">
        <is>
          <t>20</t>
        </is>
      </c>
      <c r="I311" s="5" t="inlineStr">
        <is>
          <t>C</t>
        </is>
      </c>
      <c r="J311" s="6" t="inlineStr">
        <is>
          <t>Use Venn diagram to find the number of students liking only one subject.</t>
        </is>
      </c>
    </row>
    <row r="312" ht="42" customHeight="1">
      <c r="A312" s="2" t="n">
        <v>311</v>
      </c>
      <c r="B312" s="3" t="inlineStr">
        <is>
          <t>Hard</t>
        </is>
      </c>
      <c r="C312" s="4" t="inlineStr">
        <is>
          <t>Venn Diagram Problems (3 sets)</t>
        </is>
      </c>
      <c r="D312" s="4" t="inlineStr">
        <is>
          <t>Let A and B be two sets such that</t>
        </is>
      </c>
      <c r="E312" s="4" t="inlineStr">
        <is>
          <t>A</t>
        </is>
      </c>
      <c r="F312" s="4">
        <f>15,</f>
        <v/>
      </c>
      <c r="G312" s="4" t="inlineStr">
        <is>
          <t>B</t>
        </is>
      </c>
      <c r="H312" s="4">
        <f>20, and</f>
        <v/>
      </c>
      <c r="I312" s="5" t="inlineStr">
        <is>
          <t>A</t>
        </is>
      </c>
      <c r="J312" s="6">
        <f>5. Find</f>
        <v/>
      </c>
    </row>
    <row r="313" ht="42" customHeight="1">
      <c r="A313" s="2" t="n">
        <v>312</v>
      </c>
      <c r="B313" s="3" t="inlineStr">
        <is>
          <t>Hard</t>
        </is>
      </c>
      <c r="C313" s="4" t="inlineStr">
        <is>
          <t>Venn Diagram Problems (3 sets)</t>
        </is>
      </c>
      <c r="D313" s="4" t="inlineStr">
        <is>
          <t>In a college, 80 students are enrolled in either mathematics or statistics. If 60 students are enrolled in both subjects and 20 students are not enrolled in any of the two subjects, find the number of students enrolled only in one subject.</t>
        </is>
      </c>
      <c r="E313" s="4" t="inlineStr">
        <is>
          <t>40</t>
        </is>
      </c>
      <c r="F313" s="4" t="inlineStr">
        <is>
          <t>50</t>
        </is>
      </c>
      <c r="G313" s="4" t="inlineStr">
        <is>
          <t>30</t>
        </is>
      </c>
      <c r="H313" s="4" t="inlineStr">
        <is>
          <t>10</t>
        </is>
      </c>
      <c r="I313" s="5" t="inlineStr">
        <is>
          <t>B</t>
        </is>
      </c>
      <c r="J313" s="6" t="inlineStr">
        <is>
          <t>Use Venn diagram to find the number of students enrolled only in one subject.</t>
        </is>
      </c>
    </row>
    <row r="314" ht="42" customHeight="1">
      <c r="A314" s="7" t="n">
        <v>313</v>
      </c>
      <c r="B314" s="8" t="inlineStr">
        <is>
          <t>Easy</t>
        </is>
      </c>
      <c r="C314" s="9" t="inlineStr">
        <is>
          <t>Basic Set Concepts (elements, subsets, types of sets)</t>
        </is>
      </c>
      <c r="D314" s="9" t="inlineStr">
        <is>
          <t>What type of set is {x</t>
        </is>
      </c>
      <c r="E314" s="9" t="inlineStr">
        <is>
          <t>x is an even number}?</t>
        </is>
      </c>
      <c r="F314" s="9" t="inlineStr">
        <is>
          <t>Finite</t>
        </is>
      </c>
      <c r="G314" s="9" t="inlineStr">
        <is>
          <t>Infinite</t>
        </is>
      </c>
      <c r="H314" s="9" t="inlineStr">
        <is>
          <t>Countable</t>
        </is>
      </c>
      <c r="I314" s="10" t="inlineStr">
        <is>
          <t>B</t>
        </is>
      </c>
      <c r="J314" s="11" t="inlineStr">
        <is>
          <t>The set contains all integers, which is infinite and countable.</t>
        </is>
      </c>
    </row>
    <row r="315" ht="42" customHeight="1">
      <c r="A315" s="7" t="n">
        <v>314</v>
      </c>
      <c r="B315" s="8" t="inlineStr">
        <is>
          <t>Easy</t>
        </is>
      </c>
      <c r="C315" s="9" t="inlineStr">
        <is>
          <t>Basic Set Concepts (elements, subsets, types of sets)</t>
        </is>
      </c>
      <c r="D315" s="9" t="inlineStr">
        <is>
          <t>What is the complement of the set {1, 2, 3} in the universal set {1, 2, 3, 4, 5}?</t>
        </is>
      </c>
      <c r="E315" s="9" t="inlineStr">
        <is>
          <t>{4, 5}</t>
        </is>
      </c>
      <c r="F315" s="9" t="inlineStr">
        <is>
          <t>{1, 2}</t>
        </is>
      </c>
      <c r="G315" s="9" t="inlineStr">
        <is>
          <t>{2, 3}</t>
        </is>
      </c>
      <c r="H315" s="9" t="inlineStr">
        <is>
          <t>{1, 4}</t>
        </is>
      </c>
      <c r="I315" s="10" t="inlineStr">
        <is>
          <t>A</t>
        </is>
      </c>
      <c r="J315" s="11" t="inlineStr">
        <is>
          <t>The complement of a set is the set of elements that are not in the original set.</t>
        </is>
      </c>
    </row>
    <row r="316" ht="42" customHeight="1">
      <c r="A316" s="7" t="n">
        <v>315</v>
      </c>
      <c r="B316" s="8" t="inlineStr">
        <is>
          <t>Easy</t>
        </is>
      </c>
      <c r="C316" s="9" t="inlineStr">
        <is>
          <t>Operations on Sets (union, intersection, difference)</t>
        </is>
      </c>
      <c r="D316" s="9" t="inlineStr">
        <is>
          <t>Let A and B be sets. Which of the following is true?</t>
        </is>
      </c>
      <c r="E316" s="9" t="inlineStr">
        <is>
          <t>A∩B ⊆ A ∪ B</t>
        </is>
      </c>
      <c r="F316" s="9" t="inlineStr">
        <is>
          <t>A∩B = A ∪ B</t>
        </is>
      </c>
      <c r="G316" s="9" t="inlineStr">
        <is>
          <t>A∩B ⊇ A ∪ B</t>
        </is>
      </c>
      <c r="H316" s="9" t="inlineStr">
        <is>
          <t>A∩B ⊂ A ∪ B</t>
        </is>
      </c>
      <c r="I316" s="10" t="inlineStr">
        <is>
          <t>D</t>
        </is>
      </c>
      <c r="J316" s="11" t="inlineStr">
        <is>
          <t>The intersection of two sets is always a subset of their union.</t>
        </is>
      </c>
    </row>
    <row r="317" ht="42" customHeight="1">
      <c r="A317" s="7" t="n">
        <v>316</v>
      </c>
      <c r="B317" s="8" t="inlineStr">
        <is>
          <t>Easy</t>
        </is>
      </c>
      <c r="C317" s="9" t="inlineStr">
        <is>
          <t>Operations on Sets (union, intersection, difference)</t>
        </is>
      </c>
      <c r="D317" s="9" t="inlineStr">
        <is>
          <t>If U = {1, 2, 3}, A = {1, 2} and B = {2, 3}, find A ∩ B.</t>
        </is>
      </c>
      <c r="E317" s="9" t="inlineStr">
        <is>
          <t>{1, 2}</t>
        </is>
      </c>
      <c r="F317" s="9" t="inlineStr">
        <is>
          <t>{2, 3}</t>
        </is>
      </c>
      <c r="G317" s="9" t="inlineStr">
        <is>
          <t>{1, 2, 3}</t>
        </is>
      </c>
      <c r="H317" s="9" t="inlineStr">
        <is>
          <t>{}</t>
        </is>
      </c>
      <c r="I317" s="10" t="inlineStr">
        <is>
          <t>B</t>
        </is>
      </c>
      <c r="J317" s="11" t="inlineStr">
        <is>
          <t>The intersection of sets A and B is the set of elements common to both.</t>
        </is>
      </c>
    </row>
    <row r="318" ht="42" customHeight="1">
      <c r="A318" s="7" t="n">
        <v>317</v>
      </c>
      <c r="B318" s="8" t="inlineStr">
        <is>
          <t>Easy</t>
        </is>
      </c>
      <c r="C318" s="9" t="inlineStr">
        <is>
          <t>Operations on Sets (union, intersection, difference)</t>
        </is>
      </c>
      <c r="D318" s="9" t="inlineStr">
        <is>
          <t>Let A = {a, b} and B = {b, c}. Find A ∪ B.</t>
        </is>
      </c>
      <c r="E318" s="9" t="inlineStr">
        <is>
          <t>{a, b, c}</t>
        </is>
      </c>
      <c r="F318" s="9" t="inlineStr">
        <is>
          <t>{a, b}</t>
        </is>
      </c>
      <c r="G318" s="9" t="inlineStr">
        <is>
          <t>{a, c}</t>
        </is>
      </c>
      <c r="H318" s="9" t="inlineStr">
        <is>
          <t>{b, c}</t>
        </is>
      </c>
      <c r="I318" s="10" t="inlineStr">
        <is>
          <t>A</t>
        </is>
      </c>
      <c r="J318" s="11" t="inlineStr">
        <is>
          <t>The union of sets A and B is the set of elements in either or both.</t>
        </is>
      </c>
    </row>
    <row r="319" ht="42" customHeight="1">
      <c r="A319" s="7" t="n">
        <v>318</v>
      </c>
      <c r="B319" s="8" t="inlineStr">
        <is>
          <t>Easy</t>
        </is>
      </c>
      <c r="C319" s="9" t="inlineStr">
        <is>
          <t>Operations on Sets (union, intersection, difference)</t>
        </is>
      </c>
      <c r="D319" s="9" t="inlineStr">
        <is>
          <t>If A = {1, 2, 3} and B = {4, 5}, find A ∩ B.</t>
        </is>
      </c>
      <c r="E319" s="9" t="inlineStr">
        <is>
          <t>{}</t>
        </is>
      </c>
      <c r="F319" s="9" t="inlineStr">
        <is>
          <t>{1, 2, 3}</t>
        </is>
      </c>
      <c r="G319" s="9" t="inlineStr">
        <is>
          <t>{4, 5}</t>
        </is>
      </c>
      <c r="H319" s="9" t="inlineStr">
        <is>
          <t>{1, 2, 3, 4, 5}</t>
        </is>
      </c>
      <c r="I319" s="10" t="inlineStr">
        <is>
          <t>A</t>
        </is>
      </c>
      <c r="J319" s="11" t="inlineStr">
        <is>
          <t>The intersection of sets A and B is the empty set since they have no common elements.</t>
        </is>
      </c>
    </row>
    <row r="320" ht="42" customHeight="1">
      <c r="A320" s="12" t="n">
        <v>319</v>
      </c>
      <c r="B320" s="13" t="inlineStr">
        <is>
          <t>Medium</t>
        </is>
      </c>
      <c r="C320" s="14" t="inlineStr">
        <is>
          <t>Set Identities and Properties</t>
        </is>
      </c>
      <c r="D320" s="14" t="inlineStr">
        <is>
          <t>Let U be the universal set, A ∩ B ≠ ∅. Which of the following is true?</t>
        </is>
      </c>
      <c r="E320" s="14" t="inlineStr">
        <is>
          <t>A) A ⊆ B or B ⊆ A</t>
        </is>
      </c>
      <c r="F320" s="14" t="inlineStr">
        <is>
          <t>B) A ⊇ B or B ⊇ A</t>
        </is>
      </c>
      <c r="G320" s="14" t="inlineStr">
        <is>
          <t>C) A = B</t>
        </is>
      </c>
      <c r="H320" s="14" t="inlineStr">
        <is>
          <t>D) A ∪ B = U</t>
        </is>
      </c>
      <c r="I320" s="15" t="inlineStr">
        <is>
          <t>A</t>
        </is>
      </c>
      <c r="J320" s="16" t="inlineStr">
        <is>
          <t>Given that A and B have a non-empty intersection, we can conclude that at least one of the sets is contained in the other.</t>
        </is>
      </c>
    </row>
    <row r="321" ht="42" customHeight="1">
      <c r="A321" s="12" t="n">
        <v>320</v>
      </c>
      <c r="B321" s="13" t="inlineStr">
        <is>
          <t>Medium</t>
        </is>
      </c>
      <c r="C321" s="14" t="inlineStr">
        <is>
          <t>Set Identities and Properties</t>
        </is>
      </c>
      <c r="D321" s="14" t="inlineStr">
        <is>
          <t>If A and B are sets such that A ⊆ B and C ⊇ D, which of the following is true?</t>
        </is>
      </c>
      <c r="E321" s="14" t="inlineStr">
        <is>
          <t>A) (A ∩ C) ⊆ (B ∩ D)</t>
        </is>
      </c>
      <c r="F321" s="14" t="inlineStr">
        <is>
          <t>B) (A ∪ C) ⊇ (B ∪ D)</t>
        </is>
      </c>
      <c r="G321" s="14" t="inlineStr">
        <is>
          <t>C) (A ∩ C) = (B ∩ D)</t>
        </is>
      </c>
      <c r="H321" s="14" t="inlineStr">
        <is>
          <t>D) (A ∪ C) ⊆ (B ∪ D)</t>
        </is>
      </c>
      <c r="I321" s="15" t="inlineStr">
        <is>
          <t>A</t>
        </is>
      </c>
      <c r="J321" s="16" t="inlineStr">
        <is>
          <t>(A ⊆ B and C ⊇ D) implies that (A ∩ C) is contained in both (B ∩ D) and U.</t>
        </is>
      </c>
    </row>
    <row r="322" ht="42" customHeight="1">
      <c r="A322" s="12" t="n">
        <v>321</v>
      </c>
      <c r="B322" s="13" t="inlineStr">
        <is>
          <t>Medium</t>
        </is>
      </c>
      <c r="C322" s="14" t="inlineStr">
        <is>
          <t>Set Identities and Properties</t>
        </is>
      </c>
      <c r="D322" s="14" t="inlineStr">
        <is>
          <t>Let A, B, and C be sets such that A ∩ B = ∅. Which of the following is true?</t>
        </is>
      </c>
      <c r="E322" s="14" t="inlineStr">
        <is>
          <t>A) (A ∪ B) ⊇ C</t>
        </is>
      </c>
      <c r="F322" s="14" t="inlineStr">
        <is>
          <t>(A ∪ B) ⊆ C</t>
        </is>
      </c>
      <c r="G322" s="14" t="inlineStr">
        <is>
          <t>C) (A ∪ B) = C</t>
        </is>
      </c>
      <c r="H322" s="14" t="inlineStr">
        <is>
          <t>D) (A ∪ B) ⊃ C</t>
        </is>
      </c>
      <c r="I322" s="15" t="inlineStr">
        <is>
          <t>B</t>
        </is>
      </c>
      <c r="J322" s="16" t="inlineStr">
        <is>
          <t>(Since A and B have an empty intersection, their union cannot contain any elements of C.)</t>
        </is>
      </c>
    </row>
    <row r="323" ht="42" customHeight="1">
      <c r="A323" s="12" t="n">
        <v>322</v>
      </c>
      <c r="B323" s="13" t="inlineStr">
        <is>
          <t>Medium</t>
        </is>
      </c>
      <c r="C323" s="14" t="inlineStr">
        <is>
          <t>Set Identities and Properties</t>
        </is>
      </c>
      <c r="D323" s="14" t="inlineStr">
        <is>
          <t>If A and B are sets such that A ⊆ B and</t>
        </is>
      </c>
      <c r="E323" s="14" t="inlineStr">
        <is>
          <t>A</t>
        </is>
      </c>
      <c r="F323" s="14" t="inlineStr">
        <is>
          <t>&lt;</t>
        </is>
      </c>
      <c r="G323" s="14" t="inlineStr">
        <is>
          <t>B</t>
        </is>
      </c>
      <c r="H323" s="14" t="inlineStr">
        <is>
          <t>, which of the following is true?</t>
        </is>
      </c>
      <c r="I323" s="15" t="inlineStr">
        <is>
          <t>A</t>
        </is>
      </c>
      <c r="J323" s="16" t="inlineStr">
        <is>
          <t>A ∩ B</t>
        </is>
      </c>
    </row>
    <row r="324" ht="42" customHeight="1">
      <c r="A324" s="7" t="n">
        <v>323</v>
      </c>
      <c r="B324" s="8" t="inlineStr">
        <is>
          <t>Easy</t>
        </is>
      </c>
      <c r="C324" s="9" t="inlineStr">
        <is>
          <t>Cardinality of Sets</t>
        </is>
      </c>
      <c r="D324" s="9" t="inlineStr">
        <is>
          <t>Two sets A and B have</t>
        </is>
      </c>
      <c r="E324" s="9" t="inlineStr">
        <is>
          <t>A</t>
        </is>
      </c>
      <c r="F324" s="9">
        <f>3 and</f>
        <v/>
      </c>
      <c r="G324" s="9" t="inlineStr">
        <is>
          <t>B</t>
        </is>
      </c>
      <c r="H324" s="9">
        <f>2. What is the maximum possible value of</f>
        <v/>
      </c>
      <c r="I324" s="10" t="inlineStr">
        <is>
          <t>A</t>
        </is>
      </c>
      <c r="J324" s="11" t="inlineStr"/>
    </row>
    <row r="325" ht="42" customHeight="1">
      <c r="A325" s="7" t="n">
        <v>324</v>
      </c>
      <c r="B325" s="8" t="inlineStr">
        <is>
          <t>Easy</t>
        </is>
      </c>
      <c r="C325" s="9" t="inlineStr">
        <is>
          <t>Application-based Set Theory Problems</t>
        </is>
      </c>
      <c r="D325" s="9" t="inlineStr">
        <is>
          <t>If A and B are sets such that</t>
        </is>
      </c>
      <c r="E325" s="9" t="inlineStr">
        <is>
          <t>A</t>
        </is>
      </c>
      <c r="F325" s="9">
        <f> 5 and</f>
        <v/>
      </c>
      <c r="G325" s="9" t="inlineStr">
        <is>
          <t>B</t>
        </is>
      </c>
      <c r="H325" s="9">
        <f> 7, find</f>
        <v/>
      </c>
      <c r="I325" s="10" t="inlineStr">
        <is>
          <t>A</t>
        </is>
      </c>
      <c r="J325" s="11" t="inlineStr">
        <is>
          <t>, where × denotes the Cartesian product.</t>
        </is>
      </c>
    </row>
    <row r="326" ht="42" customHeight="1">
      <c r="A326" s="2" t="n">
        <v>325</v>
      </c>
      <c r="B326" s="3" t="inlineStr">
        <is>
          <t>Hard</t>
        </is>
      </c>
      <c r="C326" s="4" t="inlineStr">
        <is>
          <t>De Morgan’s Laws</t>
        </is>
      </c>
      <c r="D326" s="4" t="inlineStr">
        <is>
          <t>Let U be the universal set, A and B be subsets. If A ∩ B' = U and A' ∩ B = ∅, find A ∩ B'</t>
        </is>
      </c>
      <c r="E326" s="4" t="inlineStr">
        <is>
          <t>∅</t>
        </is>
      </c>
      <c r="F326" s="4" t="inlineStr">
        <is>
          <t>U-A</t>
        </is>
      </c>
      <c r="G326" s="4" t="inlineStr">
        <is>
          <t>A-B</t>
        </is>
      </c>
      <c r="H326" s="4" t="inlineStr">
        <is>
          <t>B-U</t>
        </is>
      </c>
      <c r="I326" s="5" t="inlineStr">
        <is>
          <t>D</t>
        </is>
      </c>
      <c r="J326" s="6" t="inlineStr">
        <is>
          <t>By De Morgan's Law, (A ∩ B')' = U', so A' ∪ B = U.</t>
        </is>
      </c>
    </row>
    <row r="327" ht="42" customHeight="1">
      <c r="A327" s="2" t="n">
        <v>326</v>
      </c>
      <c r="B327" s="3" t="inlineStr">
        <is>
          <t>Hard</t>
        </is>
      </c>
      <c r="C327" s="4" t="inlineStr">
        <is>
          <t>De Morgan’s Laws</t>
        </is>
      </c>
      <c r="D327" s="4" t="inlineStr">
        <is>
          <t>(P ∩ Q)' and P' ∩ Q are subsets of universal set U. Prove that (P ∩ Q)' = P' ∪ Q'</t>
        </is>
      </c>
      <c r="E327" s="4" t="inlineStr">
        <is>
          <t>∅</t>
        </is>
      </c>
      <c r="F327" s="4" t="inlineStr">
        <is>
          <t>U-P-UQ</t>
        </is>
      </c>
      <c r="G327" s="4" t="inlineStr">
        <is>
          <t>P-Q</t>
        </is>
      </c>
      <c r="H327" s="4" t="inlineStr">
        <is>
          <t>QP-U</t>
        </is>
      </c>
      <c r="I327" s="5" t="inlineStr">
        <is>
          <t>A</t>
        </is>
      </c>
      <c r="J327" s="6" t="inlineStr">
        <is>
          <t>By De Morgan's Law, (P ∩ Q)' = P' ∪ Q'.</t>
        </is>
      </c>
    </row>
    <row r="328" ht="42" customHeight="1">
      <c r="A328" s="2" t="n">
        <v>327</v>
      </c>
      <c r="B328" s="3" t="inlineStr">
        <is>
          <t>Hard</t>
        </is>
      </c>
      <c r="C328" s="4" t="inlineStr">
        <is>
          <t>De Morgan’s Laws</t>
        </is>
      </c>
      <c r="D328" s="4" t="inlineStr">
        <is>
          <t>(P ∪ Q)' and P' ∪ Q are subsets of universal set U. Prove that (P ∪ Q)' = P' ∧ Q'</t>
        </is>
      </c>
      <c r="E328" s="4" t="inlineStr">
        <is>
          <t>∅</t>
        </is>
      </c>
      <c r="F328" s="4" t="inlineStr">
        <is>
          <t>U-P-UQ</t>
        </is>
      </c>
      <c r="G328" s="4" t="inlineStr">
        <is>
          <t>P-Q</t>
        </is>
      </c>
      <c r="H328" s="4" t="inlineStr">
        <is>
          <t>QP-U</t>
        </is>
      </c>
      <c r="I328" s="5" t="inlineStr">
        <is>
          <t>D</t>
        </is>
      </c>
      <c r="J328" s="6" t="inlineStr">
        <is>
          <t>By De Morgan's Law, (P ∪ Q)' = P' ∧ Q'.</t>
        </is>
      </c>
    </row>
    <row r="329" ht="42" customHeight="1">
      <c r="A329" s="2" t="n">
        <v>328</v>
      </c>
      <c r="B329" s="3" t="inlineStr">
        <is>
          <t>Hard</t>
        </is>
      </c>
      <c r="C329" s="4" t="inlineStr">
        <is>
          <t>De Morgan’s Laws</t>
        </is>
      </c>
      <c r="D329" s="4" t="inlineStr">
        <is>
          <t>Let A and B be subsets of universal set U. If A' ∩ B = ∅ and A ∩ B' = U, find A ∩ B'</t>
        </is>
      </c>
      <c r="E329" s="4" t="inlineStr">
        <is>
          <t>∅</t>
        </is>
      </c>
      <c r="F329" s="4" t="inlineStr">
        <is>
          <t>U-A</t>
        </is>
      </c>
      <c r="G329" s="4" t="inlineStr">
        <is>
          <t>A-B</t>
        </is>
      </c>
      <c r="H329" s="4" t="inlineStr">
        <is>
          <t>B-U</t>
        </is>
      </c>
      <c r="I329" s="5" t="inlineStr">
        <is>
          <t>D</t>
        </is>
      </c>
      <c r="J329" s="6" t="inlineStr">
        <is>
          <t>By De Morgan's Law, (A ∩ B')' = U', so A' ∪ B = U.</t>
        </is>
      </c>
    </row>
    <row r="330" ht="42" customHeight="1">
      <c r="A330" s="2" t="n">
        <v>329</v>
      </c>
      <c r="B330" s="3" t="inlineStr">
        <is>
          <t>Hard</t>
        </is>
      </c>
      <c r="C330" s="4" t="inlineStr">
        <is>
          <t>Application-based Set Theory Problems</t>
        </is>
      </c>
      <c r="D330" s="4" t="inlineStr">
        <is>
          <t>Let S be the set of all students in a university. Define sets A and B as follows: A = {students who have studied mathematics} and B = {students who have studied computer science}. Find the number of students who have not studied either subject if</t>
        </is>
      </c>
      <c r="E330" s="4" t="inlineStr">
        <is>
          <t>S</t>
        </is>
      </c>
      <c r="F330" s="4">
        <f> 500,</f>
        <v/>
      </c>
      <c r="G330" s="4" t="inlineStr">
        <is>
          <t>A</t>
        </is>
      </c>
      <c r="H330" s="4">
        <f> 300, and</f>
        <v/>
      </c>
      <c r="I330" s="5" t="inlineStr">
        <is>
          <t>B</t>
        </is>
      </c>
      <c r="J330" s="6">
        <f> 200.</f>
        <v/>
      </c>
    </row>
    <row r="331" ht="42" customHeight="1">
      <c r="A331" s="7" t="n">
        <v>330</v>
      </c>
      <c r="B331" s="8" t="inlineStr">
        <is>
          <t>Easy</t>
        </is>
      </c>
      <c r="C331" s="9" t="inlineStr">
        <is>
          <t>Complement of Sets</t>
        </is>
      </c>
      <c r="D331" s="9" t="inlineStr">
        <is>
          <t>If A ∩ B = {x}, what is the complement of A ∪ B?</t>
        </is>
      </c>
      <c r="E331" s="9" t="inlineStr">
        <is>
          <t>{y} where y ∈ U and y ≠ x</t>
        </is>
      </c>
      <c r="F331" s="9" t="inlineStr">
        <is>
          <t>{z} where z ∈ U and z ≠ x</t>
        </is>
      </c>
      <c r="G331" s="9" t="inlineStr">
        <is>
          <t>{w} where w ∈ U and w ≠ x</t>
        </is>
      </c>
      <c r="H331" s="9" t="inlineStr">
        <is>
          <t>{v} where v ∈ U and v ≠ x</t>
        </is>
      </c>
      <c r="I331" s="10" t="inlineStr">
        <is>
          <t>A</t>
        </is>
      </c>
      <c r="J331" s="11" t="inlineStr">
        <is>
          <t>The complement of A ∪ B is the set of all elements in U that are not in either A or B.</t>
        </is>
      </c>
    </row>
    <row r="332" ht="42" customHeight="1">
      <c r="A332" s="7" t="n">
        <v>331</v>
      </c>
      <c r="B332" s="8" t="inlineStr">
        <is>
          <t>Easy</t>
        </is>
      </c>
      <c r="C332" s="9" t="inlineStr">
        <is>
          <t>Complement of Sets</t>
        </is>
      </c>
      <c r="D332" s="9" t="inlineStr">
        <is>
          <t>Let A = {1, 2, 3} and B = {2, 4}. What is the complement of A ∩ B?</t>
        </is>
      </c>
      <c r="E332" s="9" t="inlineStr">
        <is>
          <t>{1}</t>
        </is>
      </c>
      <c r="F332" s="9" t="inlineStr">
        <is>
          <t>{3}</t>
        </is>
      </c>
      <c r="G332" s="9" t="inlineStr">
        <is>
          <t>{1, 3}</t>
        </is>
      </c>
      <c r="H332" s="9" t="inlineStr">
        <is>
          <t>{}</t>
        </is>
      </c>
      <c r="I332" s="10" t="inlineStr">
        <is>
          <t>B</t>
        </is>
      </c>
      <c r="J332" s="11" t="inlineStr">
        <is>
          <t>The complement of A ∩ B is the set of all elements in U that are not in both A and B.</t>
        </is>
      </c>
    </row>
    <row r="333" ht="42" customHeight="1">
      <c r="A333" s="7" t="n">
        <v>332</v>
      </c>
      <c r="B333" s="8" t="inlineStr">
        <is>
          <t>Easy</t>
        </is>
      </c>
      <c r="C333" s="9" t="inlineStr">
        <is>
          <t>Complement of Sets</t>
        </is>
      </c>
      <c r="D333" s="9" t="inlineStr">
        <is>
          <t>If A ⊆ B, what is the complement of A?</t>
        </is>
      </c>
      <c r="E333" s="9" t="inlineStr">
        <is>
          <t>B-A</t>
        </is>
      </c>
      <c r="F333" s="9" t="inlineStr">
        <is>
          <t>A-U</t>
        </is>
      </c>
      <c r="G333" s="9" t="inlineStr">
        <is>
          <t>U-B</t>
        </is>
      </c>
      <c r="H333" s="9" t="inlineStr">
        <is>
          <t>{}</t>
        </is>
      </c>
      <c r="I333" s="10" t="inlineStr">
        <is>
          <t>C</t>
        </is>
      </c>
      <c r="J333" s="11" t="inlineStr">
        <is>
          <t>The complement of A is the set of all elements in B that are not in A.</t>
        </is>
      </c>
    </row>
    <row r="334" ht="42" customHeight="1">
      <c r="A334" s="2" t="n">
        <v>333</v>
      </c>
      <c r="B334" s="3" t="inlineStr">
        <is>
          <t>Hard</t>
        </is>
      </c>
      <c r="C334" s="4" t="inlineStr">
        <is>
          <t>Set Identities and Properties</t>
        </is>
      </c>
      <c r="D334" s="4" t="inlineStr">
        <is>
          <t>If X ⊆ Y and Z ⊇ W, prove that X × Z ⊆ Y × W.</t>
        </is>
      </c>
      <c r="E334" s="4" t="inlineStr">
        <is>
          <t>X × Z ⊆ Y × W because for all x ∈ X and z ∈ Z, there exist y ∈ Y and w ∈ W such that (x, z) = (y, w).</t>
        </is>
      </c>
      <c r="F334" s="4" t="inlineStr">
        <is>
          <t>A</t>
        </is>
      </c>
      <c r="G334" s="4" t="inlineStr">
        <is>
          <t>B</t>
        </is>
      </c>
      <c r="H334" s="4" t="inlineStr">
        <is>
          <t>C</t>
        </is>
      </c>
      <c r="I334" s="5" t="inlineStr">
        <is>
          <t>D</t>
        </is>
      </c>
      <c r="J334" s="6" t="inlineStr">
        <is>
          <t>A</t>
        </is>
      </c>
    </row>
    <row r="335" ht="42" customHeight="1">
      <c r="A335" s="2" t="n">
        <v>334</v>
      </c>
      <c r="B335" s="3" t="inlineStr">
        <is>
          <t>Hard</t>
        </is>
      </c>
      <c r="C335" s="4" t="inlineStr">
        <is>
          <t>Set Identities and Properties</t>
        </is>
      </c>
      <c r="D335" s="4" t="inlineStr">
        <is>
          <t>Let A be a set with</t>
        </is>
      </c>
      <c r="E335" s="4" t="inlineStr">
        <is>
          <t>A</t>
        </is>
      </c>
      <c r="F335" s="4">
        <f> 5. If B is a subset of A such that</f>
        <v/>
      </c>
      <c r="G335" s="4" t="inlineStr">
        <is>
          <t>B</t>
        </is>
      </c>
      <c r="H335" s="4">
        <f> 3, find the maximum possible value of</f>
        <v/>
      </c>
      <c r="I335" s="5" t="inlineStr">
        <is>
          <t>A</t>
        </is>
      </c>
      <c r="J335" s="6" t="inlineStr">
        <is>
          <t>.</t>
        </is>
      </c>
    </row>
    <row r="336" ht="42" customHeight="1">
      <c r="A336" s="12" t="n">
        <v>335</v>
      </c>
      <c r="B336" s="13" t="inlineStr">
        <is>
          <t>Medium</t>
        </is>
      </c>
      <c r="C336" s="14" t="inlineStr">
        <is>
          <t>Application-based Set Theory Problems</t>
        </is>
      </c>
      <c r="D336" s="14" t="inlineStr">
        <is>
          <t>Rahul has 5 red balls, 7 blue balls, and 3 green balls. If he randomly selects one ball from the bag, find P(red) ∩ P(not green).</t>
        </is>
      </c>
      <c r="E336" s="14" t="inlineStr">
        <is>
          <t>1/2</t>
        </is>
      </c>
      <c r="F336" s="14" t="inlineStr">
        <is>
          <t>1/3</t>
        </is>
      </c>
      <c r="G336" s="14" t="inlineStr">
        <is>
          <t>2/3</t>
        </is>
      </c>
      <c r="H336" s="14" t="inlineStr">
        <is>
          <t>1/4</t>
        </is>
      </c>
      <c r="I336" s="15" t="inlineStr">
        <is>
          <t>A</t>
        </is>
      </c>
      <c r="J336" s="16" t="inlineStr">
        <is>
          <t>Use probability formula: P(A) =</t>
        </is>
      </c>
    </row>
    <row r="337" ht="42" customHeight="1">
      <c r="A337" s="12" t="n">
        <v>336</v>
      </c>
      <c r="B337" s="13" t="inlineStr">
        <is>
          <t>Medium</t>
        </is>
      </c>
      <c r="C337" s="14" t="inlineStr">
        <is>
          <t>Application-based Set Theory Problems</t>
        </is>
      </c>
      <c r="D337" s="14" t="inlineStr">
        <is>
          <t>In a survey of 100 students, it was found that 30 students like both Mathematics and Physics, 20 students like only Mathematics, and 50 students like only Physics. Find the number of students who like at least one of these subjects.</t>
        </is>
      </c>
      <c r="E337" s="14" t="inlineStr">
        <is>
          <t>40</t>
        </is>
      </c>
      <c r="F337" s="14" t="inlineStr">
        <is>
          <t>60</t>
        </is>
      </c>
      <c r="G337" s="14" t="inlineStr">
        <is>
          <t>70</t>
        </is>
      </c>
      <c r="H337" s="14" t="inlineStr">
        <is>
          <t>80</t>
        </is>
      </c>
      <c r="I337" s="15" t="inlineStr">
        <is>
          <t>D</t>
        </is>
      </c>
      <c r="J337" s="16" t="inlineStr">
        <is>
          <t>Use Venn diagram to represent sets and calculate union.</t>
        </is>
      </c>
    </row>
    <row r="338" ht="42" customHeight="1">
      <c r="A338" s="2" t="n">
        <v>337</v>
      </c>
      <c r="B338" s="3" t="inlineStr">
        <is>
          <t>Hard</t>
        </is>
      </c>
      <c r="C338" s="4" t="inlineStr">
        <is>
          <t>Operations on Sets (union, intersection, difference)</t>
        </is>
      </c>
      <c r="D338" s="4" t="inlineStr">
        <is>
          <t>Let A = {1, 2, 3}, B = {2, 3, 4} and C = {1, 3, 5}. Find</t>
        </is>
      </c>
      <c r="E338" s="4" t="inlineStr">
        <is>
          <t>A ∩ B ∪ C</t>
        </is>
      </c>
      <c r="F338" s="4" t="inlineStr">
        <is>
          <t>.</t>
        </is>
      </c>
      <c r="G338" s="4" t="inlineStr">
        <is>
          <t>A ∩ B</t>
        </is>
      </c>
      <c r="H338" s="4">
        <f> 2,</f>
        <v/>
      </c>
      <c r="I338" s="5" t="inlineStr">
        <is>
          <t>B</t>
        </is>
      </c>
      <c r="J338" s="6">
        <f> 2,</f>
        <v/>
      </c>
    </row>
    <row r="339" ht="42" customHeight="1">
      <c r="A339" s="2" t="n">
        <v>338</v>
      </c>
      <c r="B339" s="3" t="inlineStr">
        <is>
          <t>Hard</t>
        </is>
      </c>
      <c r="C339" s="4" t="inlineStr">
        <is>
          <t>Operations on Sets (union, intersection, difference)</t>
        </is>
      </c>
      <c r="D339" s="4" t="inlineStr">
        <is>
          <t>Let A = {1, 2, 3}, B = {2, 4} and C = {1, 3}. Find</t>
        </is>
      </c>
      <c r="E339" s="4" t="inlineStr">
        <is>
          <t>A ∩ B ∖ C</t>
        </is>
      </c>
      <c r="F339" s="4" t="inlineStr">
        <is>
          <t>.</t>
        </is>
      </c>
      <c r="G339" s="4" t="inlineStr">
        <is>
          <t>A ∩ B</t>
        </is>
      </c>
      <c r="H339" s="4">
        <f> 2,</f>
        <v/>
      </c>
      <c r="I339" s="5" t="inlineStr">
        <is>
          <t>C</t>
        </is>
      </c>
      <c r="J339" s="6">
        <f> 2</f>
        <v/>
      </c>
    </row>
    <row r="340" ht="42" customHeight="1">
      <c r="A340" s="2" t="n">
        <v>339</v>
      </c>
      <c r="B340" s="3" t="inlineStr">
        <is>
          <t>Hard</t>
        </is>
      </c>
      <c r="C340" s="4" t="inlineStr">
        <is>
          <t>Operations on Sets (union, intersection, difference)</t>
        </is>
      </c>
      <c r="D340" s="4" t="inlineStr">
        <is>
          <t>Let U = {a, b, c, d}, A = {a, b} and B = {b, c}. Find</t>
        </is>
      </c>
      <c r="E340" s="4" t="inlineStr">
        <is>
          <t>A ∪ B</t>
        </is>
      </c>
      <c r="F340" s="4" t="inlineStr">
        <is>
          <t>.</t>
        </is>
      </c>
      <c r="G340" s="4" t="inlineStr">
        <is>
          <t>A</t>
        </is>
      </c>
      <c r="H340" s="4">
        <f> 2,</f>
        <v/>
      </c>
      <c r="I340" s="5" t="inlineStr">
        <is>
          <t>B</t>
        </is>
      </c>
      <c r="J340" s="6">
        <f> 2</f>
        <v/>
      </c>
    </row>
    <row r="341" ht="42" customHeight="1">
      <c r="A341" s="2" t="n">
        <v>340</v>
      </c>
      <c r="B341" s="3" t="inlineStr">
        <is>
          <t>Hard</t>
        </is>
      </c>
      <c r="C341" s="4" t="inlineStr">
        <is>
          <t>Operations on Sets (union, intersection, difference)</t>
        </is>
      </c>
      <c r="D341" s="4" t="inlineStr">
        <is>
          <t>Let A = {1, 2}, B = {2, 3} and C = {1, 3}. Find</t>
        </is>
      </c>
      <c r="E341" s="4" t="inlineStr">
        <is>
          <t>A ∩ B ∖ C</t>
        </is>
      </c>
      <c r="F341" s="4" t="inlineStr">
        <is>
          <t>.</t>
        </is>
      </c>
      <c r="G341" s="4" t="inlineStr">
        <is>
          <t>A ∩ B</t>
        </is>
      </c>
      <c r="H341" s="4">
        <f> 1,</f>
        <v/>
      </c>
      <c r="I341" s="5" t="inlineStr">
        <is>
          <t>C</t>
        </is>
      </c>
      <c r="J341" s="6">
        <f> 2</f>
        <v/>
      </c>
    </row>
    <row r="342" ht="42" customHeight="1">
      <c r="A342" s="12" t="n">
        <v>341</v>
      </c>
      <c r="B342" s="13" t="inlineStr">
        <is>
          <t>Medium</t>
        </is>
      </c>
      <c r="C342" s="14" t="inlineStr">
        <is>
          <t>De Morgan’s Laws</t>
        </is>
      </c>
      <c r="D342" s="14" t="inlineStr">
        <is>
          <t>(A ∩ B)′ + (A′ ∩ B)′ = ?</t>
        </is>
      </c>
      <c r="E342" s="14" t="inlineStr">
        <is>
          <t>A′ ∪ B′</t>
        </is>
      </c>
      <c r="F342" s="14" t="inlineStr">
        <is>
          <t>B′ ∪ A′</t>
        </is>
      </c>
      <c r="G342" s="14" t="inlineStr">
        <is>
          <t>A′ ∩ B′</t>
        </is>
      </c>
      <c r="H342" s="14" t="inlineStr">
        <is>
          <t>A ∪ B′</t>
        </is>
      </c>
      <c r="I342" s="15" t="inlineStr">
        <is>
          <t>D</t>
        </is>
      </c>
      <c r="J342" s="16" t="inlineStr">
        <is>
          <t>(A ∩ B)′ and (A′ ∩ B)′ are complements of intersections, so union them.</t>
        </is>
      </c>
    </row>
    <row r="343" ht="42" customHeight="1">
      <c r="A343" s="12" t="n">
        <v>342</v>
      </c>
      <c r="B343" s="13" t="inlineStr">
        <is>
          <t>Medium</t>
        </is>
      </c>
      <c r="C343" s="14" t="inlineStr">
        <is>
          <t>De Morgan’s Laws</t>
        </is>
      </c>
      <c r="D343" s="14" t="inlineStr">
        <is>
          <t>(A ∪ B)′ = ?</t>
        </is>
      </c>
      <c r="E343" s="14" t="inlineStr">
        <is>
          <t>A′ ∩ B′</t>
        </is>
      </c>
      <c r="F343" s="14" t="inlineStr">
        <is>
          <t>B′ ∩ A′</t>
        </is>
      </c>
      <c r="G343" s="14" t="inlineStr">
        <is>
          <t>A′ ∪ B′</t>
        </is>
      </c>
      <c r="H343" s="14" t="inlineStr">
        <is>
          <t>A′ ∩ B′</t>
        </is>
      </c>
      <c r="I343" s="15" t="inlineStr">
        <is>
          <t>C</t>
        </is>
      </c>
      <c r="J343" s="16" t="inlineStr">
        <is>
          <t>(A ∪ B)′ is the complement of the union, which is the intersection of complements.</t>
        </is>
      </c>
    </row>
    <row r="344" ht="42" customHeight="1">
      <c r="A344" s="12" t="n">
        <v>343</v>
      </c>
      <c r="B344" s="13" t="inlineStr">
        <is>
          <t>Medium</t>
        </is>
      </c>
      <c r="C344" s="14" t="inlineStr">
        <is>
          <t>De Morgan’s Laws</t>
        </is>
      </c>
      <c r="D344" s="14" t="inlineStr">
        <is>
          <t>(A′ ∩ B)′ = ?</t>
        </is>
      </c>
      <c r="E344" s="14" t="inlineStr">
        <is>
          <t>A ∪ B</t>
        </is>
      </c>
      <c r="F344" s="14" t="inlineStr">
        <is>
          <t>A ∩ B</t>
        </is>
      </c>
      <c r="G344" s="14" t="inlineStr">
        <is>
          <t>A′ ∪ B′</t>
        </is>
      </c>
      <c r="H344" s="14" t="inlineStr">
        <is>
          <t>A′ ∩ B′</t>
        </is>
      </c>
      <c r="I344" s="15" t="inlineStr">
        <is>
          <t>B</t>
        </is>
      </c>
      <c r="J344" s="16" t="inlineStr">
        <is>
          <t>(Complement of intersection is the union of complements).</t>
        </is>
      </c>
    </row>
    <row r="345" ht="42" customHeight="1">
      <c r="A345" s="12" t="n">
        <v>344</v>
      </c>
      <c r="B345" s="13" t="inlineStr">
        <is>
          <t>Medium</t>
        </is>
      </c>
      <c r="C345" s="14" t="inlineStr">
        <is>
          <t>De Morgan’s Laws</t>
        </is>
      </c>
      <c r="D345" s="14" t="inlineStr">
        <is>
          <t>(A′ ∪ B)′ = ?</t>
        </is>
      </c>
      <c r="E345" s="14" t="inlineStr">
        <is>
          <t>A ∩ B</t>
        </is>
      </c>
      <c r="F345" s="14" t="inlineStr">
        <is>
          <t>A ∪ B</t>
        </is>
      </c>
      <c r="G345" s="14" t="inlineStr">
        <is>
          <t>A′ ∩ B′</t>
        </is>
      </c>
      <c r="H345" s="14" t="inlineStr">
        <is>
          <t>A′ ∪ B′</t>
        </is>
      </c>
      <c r="I345" s="15" t="inlineStr">
        <is>
          <t>A</t>
        </is>
      </c>
      <c r="J345" s="16" t="inlineStr">
        <is>
          <t>(Complement of union is the intersection of complements).</t>
        </is>
      </c>
    </row>
    <row r="346" ht="42" customHeight="1">
      <c r="A346" s="2" t="n">
        <v>345</v>
      </c>
      <c r="B346" s="3" t="inlineStr">
        <is>
          <t>Hard</t>
        </is>
      </c>
      <c r="C346" s="4" t="inlineStr">
        <is>
          <t>Complement of Sets</t>
        </is>
      </c>
      <c r="D346" s="4" t="inlineStr">
        <is>
          <t>Let U be the universal set, A and B be two sets such that A ∩ B = {x}, find</t>
        </is>
      </c>
      <c r="E346" s="4" t="inlineStr">
        <is>
          <t>A' ∪ B'</t>
        </is>
      </c>
      <c r="F346" s="4" t="inlineStr">
        <is>
          <t>.</t>
        </is>
      </c>
      <c r="G346" s="4" t="inlineStr">
        <is>
          <t>1</t>
        </is>
      </c>
      <c r="H346" s="4" t="inlineStr">
        <is>
          <t>U-A-B</t>
        </is>
      </c>
      <c r="I346" s="5" t="inlineStr">
        <is>
          <t>A</t>
        </is>
      </c>
      <c r="J346" s="6" t="inlineStr">
        <is>
          <t>A-B</t>
        </is>
      </c>
    </row>
    <row r="347" ht="42" customHeight="1">
      <c r="A347" s="2" t="n">
        <v>346</v>
      </c>
      <c r="B347" s="3" t="inlineStr">
        <is>
          <t>Hard</t>
        </is>
      </c>
      <c r="C347" s="4" t="inlineStr">
        <is>
          <t>Basic Set Concepts (elements, subsets, types of sets)</t>
        </is>
      </c>
      <c r="D347" s="4" t="inlineStr">
        <is>
          <t>Let U be the universal set containing all integers. Which of the following sets is NOT a subset of U?</t>
        </is>
      </c>
      <c r="E347" s="4" t="inlineStr">
        <is>
          <t>All even numbers</t>
        </is>
      </c>
      <c r="F347" s="4" t="inlineStr">
        <is>
          <t>All prime numbers</t>
        </is>
      </c>
      <c r="G347" s="4" t="inlineStr">
        <is>
          <t>All odd numbers</t>
        </is>
      </c>
      <c r="H347" s="4" t="inlineStr">
        <is>
          <t>The set of all real numbers</t>
        </is>
      </c>
      <c r="I347" s="5" t="inlineStr">
        <is>
          <t>D</t>
        </is>
      </c>
      <c r="J347" s="6" t="inlineStr">
        <is>
          <t>None of these are not subsets of U.</t>
        </is>
      </c>
    </row>
    <row r="348" ht="42" customHeight="1">
      <c r="A348" s="2" t="n">
        <v>347</v>
      </c>
      <c r="B348" s="3" t="inlineStr">
        <is>
          <t>Hard</t>
        </is>
      </c>
      <c r="C348" s="4" t="inlineStr">
        <is>
          <t>Basic Set Concepts (elements, subsets, types of sets)</t>
        </is>
      </c>
      <c r="D348" s="4" t="inlineStr">
        <is>
          <t>Let A = {1, 2, 3} and B = {2, 4}. Which of the following is a valid Venn diagram representation for P(A ∩ B)?</t>
        </is>
      </c>
      <c r="E348" s="4" t="inlineStr">
        <is>
          <t>A∪B inside A and B</t>
        </is>
      </c>
      <c r="F348" s="4" t="inlineStr">
        <is>
          <t>A inside B and B inside A</t>
        </is>
      </c>
      <c r="G348" s="4" t="inlineStr">
        <is>
          <t>A outside both A and B</t>
        </is>
      </c>
      <c r="H348" s="4" t="inlineStr">
        <is>
          <t>B outside both A and B</t>
        </is>
      </c>
      <c r="I348" s="5" t="inlineStr">
        <is>
          <t>C</t>
        </is>
      </c>
      <c r="J348" s="6" t="inlineStr">
        <is>
          <t>The correct representation is A inside B.</t>
        </is>
      </c>
    </row>
    <row r="349" ht="42" customHeight="1">
      <c r="A349" s="2" t="n">
        <v>348</v>
      </c>
      <c r="B349" s="3" t="inlineStr">
        <is>
          <t>Hard</t>
        </is>
      </c>
      <c r="C349" s="4" t="inlineStr">
        <is>
          <t>Basic Set Concepts (elements, subsets, types of sets)</t>
        </is>
      </c>
      <c r="D349" s="4" t="inlineStr">
        <is>
          <t>If X = {a, b, c} and Y = {b, c, d}, find the number of elements in X ∩ Y using the principle of inclusion-exclusion.</t>
        </is>
      </c>
      <c r="E349" s="4" t="inlineStr">
        <is>
          <t>1</t>
        </is>
      </c>
      <c r="F349" s="4" t="inlineStr">
        <is>
          <t>2</t>
        </is>
      </c>
      <c r="G349" s="4" t="inlineStr">
        <is>
          <t>3</t>
        </is>
      </c>
      <c r="H349" s="4" t="inlineStr">
        <is>
          <t>4</t>
        </is>
      </c>
      <c r="I349" s="5" t="inlineStr">
        <is>
          <t>A</t>
        </is>
      </c>
      <c r="J349" s="6" t="inlineStr">
        <is>
          <t>X∩Y has 2 elements: b and c.</t>
        </is>
      </c>
    </row>
    <row r="350" ht="42" customHeight="1">
      <c r="A350" s="2" t="n">
        <v>349</v>
      </c>
      <c r="B350" s="3" t="inlineStr">
        <is>
          <t>Hard</t>
        </is>
      </c>
      <c r="C350" s="4" t="inlineStr">
        <is>
          <t>Basic Set Concepts (elements, subsets, types of sets)</t>
        </is>
      </c>
      <c r="D350" s="4" t="inlineStr">
        <is>
          <t>Let S be a set containing all positive integers. Which of the following statements about the power set P(S) is TRUE?</t>
        </is>
      </c>
      <c r="E350" s="4" t="inlineStr">
        <is>
          <t>P(S) contains only finite sets</t>
        </is>
      </c>
      <c r="F350" s="4" t="inlineStr">
        <is>
          <t>P(S) contains only infinite sets</t>
        </is>
      </c>
      <c r="G350" s="4" t="inlineStr">
        <is>
          <t>P(S) contains both finite and infinite sets</t>
        </is>
      </c>
      <c r="H350" s="4" t="inlineStr">
        <is>
          <t>P(S) contains no sets at all</t>
        </is>
      </c>
      <c r="I350" s="5" t="inlineStr">
        <is>
          <t>D</t>
        </is>
      </c>
      <c r="J350" s="6" t="inlineStr">
        <is>
          <t>The power set P(S) contains both finite and infinite sets.</t>
        </is>
      </c>
    </row>
    <row r="351" ht="42" customHeight="1">
      <c r="A351" s="2" t="n">
        <v>350</v>
      </c>
      <c r="B351" s="3" t="inlineStr">
        <is>
          <t>Hard</t>
        </is>
      </c>
      <c r="C351" s="4" t="inlineStr">
        <is>
          <t>Word Problems using Sets</t>
        </is>
      </c>
      <c r="D351" s="4" t="inlineStr">
        <is>
          <t>A bakery offers a discount on bulk orders. If buying 3 sets of cookies (each set containing 4, 5, and 6 items respectively) gives you the same discount as buying 2 sets of cakes (each set containing 8, 9, and 10 items respectively), what is the ratio of the number of cookie items to cake items?</t>
        </is>
      </c>
      <c r="E351" s="4" t="inlineStr">
        <is>
          <t>12:15</t>
        </is>
      </c>
      <c r="F351" s="4" t="inlineStr">
        <is>
          <t>3:4</t>
        </is>
      </c>
      <c r="G351" s="4" t="inlineStr">
        <is>
          <t>4:5</t>
        </is>
      </c>
      <c r="H351" s="4" t="inlineStr">
        <is>
          <t>8:10</t>
        </is>
      </c>
      <c r="I351" s="5" t="inlineStr">
        <is>
          <t>A</t>
        </is>
      </c>
      <c r="J351" s="6" t="inlineStr">
        <is>
          <t>Use Venn diagram to represent the sets; find the common discount factor by equating the total number of items in each set.</t>
        </is>
      </c>
    </row>
  </sheetData>
  <autoFilter ref="A1:J3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6"/>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7" t="inlineStr">
        <is>
          <t>SET THEORY — EASY LEVEL  (114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7" t="n">
        <v>1</v>
      </c>
      <c r="B3" s="7" t="inlineStr">
        <is>
          <t>Easy</t>
        </is>
      </c>
      <c r="C3" s="9" t="inlineStr">
        <is>
          <t>Complement of Sets</t>
        </is>
      </c>
      <c r="D3" s="9" t="inlineStr">
        <is>
          <t>Let U be the universal set. If A ∩ B = {1, 2} and A' ∪ B' = U, then what is A'?</t>
        </is>
      </c>
      <c r="E3" s="9" t="inlineStr">
        <is>
          <t>{0, 3, 4}</t>
        </is>
      </c>
      <c r="F3" s="9" t="inlineStr">
        <is>
          <t>{0, 1, 3, 4}</t>
        </is>
      </c>
      <c r="G3" s="9" t="inlineStr">
        <is>
          <t>{0, 2, 3, 4}</t>
        </is>
      </c>
      <c r="H3" s="9" t="inlineStr">
        <is>
          <t>{0, 1, 2, 3, 4}</t>
        </is>
      </c>
      <c r="I3" s="10" t="inlineStr">
        <is>
          <t>B</t>
        </is>
      </c>
      <c r="J3" s="11" t="inlineStr">
        <is>
          <t>A' is the set of elements in U that are not in A.</t>
        </is>
      </c>
    </row>
    <row r="4" ht="42" customHeight="1">
      <c r="A4" s="7" t="n">
        <v>2</v>
      </c>
      <c r="B4" s="7" t="inlineStr">
        <is>
          <t>Easy</t>
        </is>
      </c>
      <c r="C4" s="9" t="inlineStr">
        <is>
          <t>Complement of Sets</t>
        </is>
      </c>
      <c r="D4" s="9" t="inlineStr">
        <is>
          <t>If A and B are sets such that A ∩ B = {x}, then what is (A ∪ B)'?</t>
        </is>
      </c>
      <c r="E4" s="9" t="inlineStr">
        <is>
          <t>{x}</t>
        </is>
      </c>
      <c r="F4" s="9" t="inlineStr">
        <is>
          <t>{x, y}</t>
        </is>
      </c>
      <c r="G4" s="9" t="inlineStr">
        <is>
          <t>{x, x'}</t>
        </is>
      </c>
      <c r="H4" s="9" t="inlineStr">
        <is>
          <t>{x, x', y}</t>
        </is>
      </c>
      <c r="I4" s="10" t="inlineStr">
        <is>
          <t>C</t>
        </is>
      </c>
      <c r="J4" s="11" t="inlineStr">
        <is>
          <t>(A ∪ B)' is the set of elements in U that are not in A or B.</t>
        </is>
      </c>
    </row>
    <row r="5" ht="42" customHeight="1">
      <c r="A5" s="7" t="n">
        <v>3</v>
      </c>
      <c r="B5" s="7" t="inlineStr">
        <is>
          <t>Easy</t>
        </is>
      </c>
      <c r="C5" s="9" t="inlineStr">
        <is>
          <t>Complement of Sets</t>
        </is>
      </c>
      <c r="D5" s="9" t="inlineStr">
        <is>
          <t>Let A and B be sets. If A' ∩ B = φ and A ∪ B = U, then what is (A ∩ B)'?</t>
        </is>
      </c>
      <c r="E5" s="9" t="inlineStr">
        <is>
          <t>φ</t>
        </is>
      </c>
      <c r="F5" s="9" t="inlineStr">
        <is>
          <t>{1, 2}</t>
        </is>
      </c>
      <c r="G5" s="9" t="inlineStr">
        <is>
          <t>{0, 1, 2}</t>
        </is>
      </c>
      <c r="H5" s="9" t="inlineStr">
        <is>
          <t>{0, 1, 3, 4}</t>
        </is>
      </c>
      <c r="I5" s="10" t="inlineStr">
        <is>
          <t>D</t>
        </is>
      </c>
      <c r="J5" s="11" t="inlineStr">
        <is>
          <t>(A ∩ B)' is the set of elements in U that are not in A and B.</t>
        </is>
      </c>
    </row>
    <row r="6" ht="42" customHeight="1">
      <c r="A6" s="7" t="n">
        <v>4</v>
      </c>
      <c r="B6" s="7" t="inlineStr">
        <is>
          <t>Easy</t>
        </is>
      </c>
      <c r="C6" s="9" t="inlineStr">
        <is>
          <t>Complement of Sets</t>
        </is>
      </c>
      <c r="D6" s="9" t="inlineStr">
        <is>
          <t>If A is a subset of U and A' = {x, y}, then what is (U - A)'?</t>
        </is>
      </c>
      <c r="E6" s="9" t="inlineStr">
        <is>
          <t>{0, 1, 2}</t>
        </is>
      </c>
      <c r="F6" s="9" t="inlineStr">
        <is>
          <t>{x, y}</t>
        </is>
      </c>
      <c r="G6" s="9" t="inlineStr">
        <is>
          <t>{x, y, z}</t>
        </is>
      </c>
      <c r="H6" s="9" t="inlineStr">
        <is>
          <t>{x, y, z, w}</t>
        </is>
      </c>
      <c r="I6" s="10" t="inlineStr">
        <is>
          <t>A</t>
        </is>
      </c>
      <c r="J6" s="11" t="inlineStr">
        <is>
          <t>(U - A)' is the set of elements in U that are not in A.</t>
        </is>
      </c>
    </row>
    <row r="7" ht="42" customHeight="1">
      <c r="A7" s="7" t="n">
        <v>5</v>
      </c>
      <c r="B7" s="7" t="inlineStr">
        <is>
          <t>Easy</t>
        </is>
      </c>
      <c r="C7" s="9" t="inlineStr">
        <is>
          <t>Word Problems using Sets</t>
        </is>
      </c>
      <c r="D7" s="9" t="inlineStr">
        <is>
          <t>A bakery sells 120 loaves of bread daily. If it uses 30 loaves for sandwiches and 40 loaves for toast, how many loaves are left over?</t>
        </is>
      </c>
      <c r="E7" s="9" t="inlineStr">
        <is>
          <t>60 loaves</t>
        </is>
      </c>
      <c r="F7" s="9" t="inlineStr">
        <is>
          <t>80 loaves</t>
        </is>
      </c>
      <c r="G7" s="9" t="inlineStr">
        <is>
          <t>100 loaves</t>
        </is>
      </c>
      <c r="H7" s="9" t="inlineStr">
        <is>
          <t>110 loaves</t>
        </is>
      </c>
      <c r="I7" s="10" t="inlineStr">
        <is>
          <t>D</t>
        </is>
      </c>
      <c r="J7" s="11" t="inlineStr">
        <is>
          <t>The number of loaves left is the difference between the total sold (120) and used for sandwiches and toast (30 + 40 = 70).</t>
        </is>
      </c>
    </row>
    <row r="8" ht="42" customHeight="1">
      <c r="A8" s="7" t="n">
        <v>6</v>
      </c>
      <c r="B8" s="7" t="inlineStr">
        <is>
          <t>Easy</t>
        </is>
      </c>
      <c r="C8" s="9" t="inlineStr">
        <is>
          <t>Venn Diagram Problems (3 sets)</t>
        </is>
      </c>
      <c r="D8" s="9" t="inlineStr">
        <is>
          <t>Three sets A, B, and C are given. If A ∩ B = {1, 2}, A ∩ C = {2, 3}, and B ∩ C = {4}, find A ∪ B ∪ C.</t>
        </is>
      </c>
      <c r="E8" s="9" t="inlineStr">
        <is>
          <t>{1, 2, 3, 4}</t>
        </is>
      </c>
      <c r="F8" s="9" t="inlineStr">
        <is>
          <t>{1, 2, 3, 5}</t>
        </is>
      </c>
      <c r="G8" s="9" t="inlineStr">
        <is>
          <t>{1, 2, 3, 6}</t>
        </is>
      </c>
      <c r="H8" s="9" t="inlineStr">
        <is>
          <t>{1, 2, 3, 7}</t>
        </is>
      </c>
      <c r="I8" s="10" t="inlineStr">
        <is>
          <t>A</t>
        </is>
      </c>
      <c r="J8" s="11" t="inlineStr">
        <is>
          <t>Union of sets is the set of all elements that are in A or B or C.</t>
        </is>
      </c>
    </row>
    <row r="9" ht="42" customHeight="1">
      <c r="A9" s="7" t="n">
        <v>7</v>
      </c>
      <c r="B9" s="7" t="inlineStr">
        <is>
          <t>Easy</t>
        </is>
      </c>
      <c r="C9" s="9" t="inlineStr">
        <is>
          <t>Venn Diagram Problems (3 sets)</t>
        </is>
      </c>
      <c r="D9" s="9" t="inlineStr">
        <is>
          <t>Sets P and Q have a total of 15 elements. If P has 9 elements and P ∩ Q = {1, 2}, find Q.</t>
        </is>
      </c>
      <c r="E9" s="9" t="inlineStr">
        <is>
          <t>{10, 11, 12}</t>
        </is>
      </c>
      <c r="F9" s="9" t="inlineStr">
        <is>
          <t>{13, 14, 15}</t>
        </is>
      </c>
      <c r="G9" s="9" t="inlineStr">
        <is>
          <t>{1, 2, 3}</t>
        </is>
      </c>
      <c r="H9" s="9" t="inlineStr">
        <is>
          <t>{4, 5, 6}</t>
        </is>
      </c>
      <c r="I9" s="10" t="inlineStr">
        <is>
          <t>D</t>
        </is>
      </c>
      <c r="J9" s="11" t="inlineStr">
        <is>
          <t>Find the number of elements in set Q by subtracting the number of elements in P from the total.</t>
        </is>
      </c>
    </row>
    <row r="10" ht="42" customHeight="1">
      <c r="A10" s="7" t="n">
        <v>8</v>
      </c>
      <c r="B10" s="7" t="inlineStr">
        <is>
          <t>Easy</t>
        </is>
      </c>
      <c r="C10" s="9" t="inlineStr">
        <is>
          <t>Venn Diagram Problems (3 sets)</t>
        </is>
      </c>
      <c r="D10" s="9" t="inlineStr">
        <is>
          <t>Three sets A, B, and C are given. If A ∩ B = {1}, A ∪ B = {1, 2, 3}, and C = {4}, find A ∪ C.</t>
        </is>
      </c>
      <c r="E10" s="9" t="inlineStr">
        <is>
          <t>{1, 2, 3, 4}</t>
        </is>
      </c>
      <c r="F10" s="9" t="inlineStr">
        <is>
          <t>{1, 2, 5}</t>
        </is>
      </c>
      <c r="G10" s="9" t="inlineStr">
        <is>
          <t>{1, 6, 7}</t>
        </is>
      </c>
      <c r="H10" s="9" t="inlineStr">
        <is>
          <t>{8, 9, 10}</t>
        </is>
      </c>
      <c r="I10" s="10" t="inlineStr">
        <is>
          <t>A</t>
        </is>
      </c>
      <c r="J10" s="11" t="inlineStr">
        <is>
          <t>Find the union of sets by combining all elements that are in set A or set C.</t>
        </is>
      </c>
    </row>
    <row r="11" ht="42" customHeight="1">
      <c r="A11" s="7" t="n">
        <v>9</v>
      </c>
      <c r="B11" s="7" t="inlineStr">
        <is>
          <t>Easy</t>
        </is>
      </c>
      <c r="C11" s="9" t="inlineStr">
        <is>
          <t>Venn Diagram Problems (3 sets)</t>
        </is>
      </c>
      <c r="D11" s="9" t="inlineStr">
        <is>
          <t>Sets X and Y have a total of 12 elements. If X has 8 elements and X ∩ Y = {1, 2}, find Y.</t>
        </is>
      </c>
      <c r="E11" s="9" t="inlineStr">
        <is>
          <t>{9, 10, 11}</t>
        </is>
      </c>
      <c r="F11" s="9" t="inlineStr">
        <is>
          <t>{3, 4, 5}</t>
        </is>
      </c>
      <c r="G11" s="9" t="inlineStr">
        <is>
          <t>{6, 7, 8}</t>
        </is>
      </c>
      <c r="H11" s="9" t="inlineStr">
        <is>
          <t>{1, 2, 3}</t>
        </is>
      </c>
      <c r="I11" s="10" t="inlineStr">
        <is>
          <t>B</t>
        </is>
      </c>
      <c r="J11" s="11" t="inlineStr">
        <is>
          <t>Find the number of elements in set Y by subtracting the number of elements in X from the total.</t>
        </is>
      </c>
    </row>
    <row r="12" ht="42" customHeight="1">
      <c r="A12" s="7" t="n">
        <v>10</v>
      </c>
      <c r="B12" s="7" t="inlineStr">
        <is>
          <t>Easy</t>
        </is>
      </c>
      <c r="C12" s="9" t="inlineStr">
        <is>
          <t>Set Identities and Properties</t>
        </is>
      </c>
      <c r="D12" s="9" t="inlineStr">
        <is>
          <t>(A ∩ B) ∪ C = ?</t>
        </is>
      </c>
      <c r="E12" s="9" t="inlineStr">
        <is>
          <t>A ∪ (B ∪ C)</t>
        </is>
      </c>
      <c r="F12" s="9" t="inlineStr">
        <is>
          <t>(A ∩ B) ∪ C</t>
        </is>
      </c>
      <c r="G12" s="9" t="inlineStr">
        <is>
          <t>A ∩ (B ∪ C)</t>
        </is>
      </c>
      <c r="H12" s="9" t="inlineStr">
        <is>
          <t>A ∪ B ∪ C</t>
        </is>
      </c>
      <c r="I12" s="10" t="inlineStr">
        <is>
          <t>C</t>
        </is>
      </c>
      <c r="J12" s="11" t="inlineStr">
        <is>
          <t>(Venn diagram: A ∩ B is subset of (A ∩ B) ∪ C).</t>
        </is>
      </c>
    </row>
    <row r="13" ht="42" customHeight="1">
      <c r="A13" s="7" t="n">
        <v>11</v>
      </c>
      <c r="B13" s="7" t="inlineStr">
        <is>
          <t>Easy</t>
        </is>
      </c>
      <c r="C13" s="9" t="inlineStr">
        <is>
          <t>Set Identities and Properties</t>
        </is>
      </c>
      <c r="D13" s="9" t="inlineStr">
        <is>
          <t>If A ⊆ B, then what is A ∩ B equal to?</t>
        </is>
      </c>
      <c r="E13" s="9" t="inlineStr">
        <is>
          <t>A</t>
        </is>
      </c>
      <c r="F13" s="9" t="inlineStr">
        <is>
          <t>B</t>
        </is>
      </c>
      <c r="G13" s="9" t="inlineStr">
        <is>
          <t>∅</t>
        </is>
      </c>
      <c r="H13" s="9" t="inlineStr">
        <is>
          <t>A ∪ B</t>
        </is>
      </c>
      <c r="I13" s="10" t="inlineStr">
        <is>
          <t>A</t>
        </is>
      </c>
      <c r="J13" s="11" t="inlineStr">
        <is>
          <t>(By definition of subset).</t>
        </is>
      </c>
    </row>
    <row r="14" ht="42" customHeight="1">
      <c r="A14" s="7" t="n">
        <v>12</v>
      </c>
      <c r="B14" s="7" t="inlineStr">
        <is>
          <t>Easy</t>
        </is>
      </c>
      <c r="C14" s="9" t="inlineStr">
        <is>
          <t>Venn Diagram Problems (2 sets)</t>
        </is>
      </c>
      <c r="D14" s="9" t="inlineStr">
        <is>
          <t>Set A has 10 elements, set B has 5 elements. What is the maximum possible number of elements in their intersection?</t>
        </is>
      </c>
      <c r="E14" s="9" t="inlineStr">
        <is>
          <t>A) 3</t>
        </is>
      </c>
      <c r="F14" s="9" t="inlineStr">
        <is>
          <t>B) 5</t>
        </is>
      </c>
      <c r="G14" s="9" t="inlineStr">
        <is>
          <t>C) 7</t>
        </is>
      </c>
      <c r="H14" s="9" t="inlineStr">
        <is>
          <t>D) 9</t>
        </is>
      </c>
      <c r="I14" s="10" t="inlineStr">
        <is>
          <t>A</t>
        </is>
      </c>
      <c r="J14" s="11" t="inlineStr">
        <is>
          <t>Maximum intersection occurs when all elements of set B are also in set A.</t>
        </is>
      </c>
    </row>
    <row r="15" ht="42" customHeight="1">
      <c r="A15" s="7" t="n">
        <v>13</v>
      </c>
      <c r="B15" s="7" t="inlineStr">
        <is>
          <t>Easy</t>
        </is>
      </c>
      <c r="C15" s="9" t="inlineStr">
        <is>
          <t>Venn Diagram Problems (2 sets)</t>
        </is>
      </c>
      <c r="D15" s="9" t="inlineStr">
        <is>
          <t>In a Venn diagram, set A has 8 elements and set B has 4 elements. If the union of both sets has 12 elements, what is the number of elements in their difference?</t>
        </is>
      </c>
      <c r="E15" s="9" t="inlineStr">
        <is>
          <t>A) 0</t>
        </is>
      </c>
      <c r="F15" s="9" t="inlineStr">
        <is>
          <t>B) 1</t>
        </is>
      </c>
      <c r="G15" s="9" t="inlineStr">
        <is>
          <t>C) 2</t>
        </is>
      </c>
      <c r="H15" s="9" t="inlineStr">
        <is>
          <t>D) 3</t>
        </is>
      </c>
      <c r="I15" s="10" t="inlineStr">
        <is>
          <t>B</t>
        </is>
      </c>
      <c r="J15" s="11" t="inlineStr">
        <is>
          <t>Union = A ∪ B = 12; Difference = (A ∩ B)' = 4.</t>
        </is>
      </c>
    </row>
    <row r="16" ht="42" customHeight="1">
      <c r="A16" s="7" t="n">
        <v>14</v>
      </c>
      <c r="B16" s="7" t="inlineStr">
        <is>
          <t>Easy</t>
        </is>
      </c>
      <c r="C16" s="9" t="inlineStr">
        <is>
          <t>Venn Diagram Problems (2 sets)</t>
        </is>
      </c>
      <c r="D16" s="9" t="inlineStr">
        <is>
          <t>Two sets, A and B, have 6 and 8 elements respectively. If their intersection has 2 elements, what is the number of elements in set A but not in set B?</t>
        </is>
      </c>
      <c r="E16" s="9" t="inlineStr">
        <is>
          <t>A) 3</t>
        </is>
      </c>
      <c r="F16" s="9" t="inlineStr">
        <is>
          <t>B) 4</t>
        </is>
      </c>
      <c r="G16" s="9" t="inlineStr">
        <is>
          <t>C) 5</t>
        </is>
      </c>
      <c r="H16" s="9" t="inlineStr">
        <is>
          <t>D) 6</t>
        </is>
      </c>
      <c r="I16" s="10" t="inlineStr">
        <is>
          <t>C</t>
        </is>
      </c>
      <c r="J16" s="11" t="inlineStr">
        <is>
          <t>Intersection = 2; Difference = (A - B) = 6 - 2 = 4.</t>
        </is>
      </c>
    </row>
    <row r="17" ht="42" customHeight="1">
      <c r="A17" s="7" t="n">
        <v>15</v>
      </c>
      <c r="B17" s="7" t="inlineStr">
        <is>
          <t>Easy</t>
        </is>
      </c>
      <c r="C17" s="9" t="inlineStr">
        <is>
          <t>Venn Diagram Problems (2 sets)</t>
        </is>
      </c>
      <c r="D17" s="9" t="inlineStr">
        <is>
          <t>In a Venn diagram, set A has 12 elements and set B has 8 elements. If their union has 16 elements, what is the number of elements in their difference?</t>
        </is>
      </c>
      <c r="E17" s="9" t="inlineStr">
        <is>
          <t>A) 0</t>
        </is>
      </c>
      <c r="F17" s="9" t="inlineStr">
        <is>
          <t>B) 1</t>
        </is>
      </c>
      <c r="G17" s="9" t="inlineStr">
        <is>
          <t>C) 2</t>
        </is>
      </c>
      <c r="H17" s="9" t="inlineStr">
        <is>
          <t>D) 4</t>
        </is>
      </c>
      <c r="I17" s="10" t="inlineStr">
        <is>
          <t>D</t>
        </is>
      </c>
      <c r="J17" s="11" t="inlineStr">
        <is>
          <t>Union = A ∪ B = 16; Difference = (A ∩ B)' = 16 - 12 - 8 + 2 = 4.</t>
        </is>
      </c>
    </row>
    <row r="18" ht="42" customHeight="1">
      <c r="A18" s="7" t="n">
        <v>16</v>
      </c>
      <c r="B18" s="7" t="inlineStr">
        <is>
          <t>Easy</t>
        </is>
      </c>
      <c r="C18" s="9" t="inlineStr">
        <is>
          <t>De Morgan’s Laws</t>
        </is>
      </c>
      <c r="D18" s="9" t="inlineStr">
        <is>
          <t>(A ∪ B)′ = ?</t>
        </is>
      </c>
      <c r="E18" s="9" t="inlineStr">
        <is>
          <t>A′ ∩ B′</t>
        </is>
      </c>
      <c r="F18" s="9" t="inlineStr">
        <is>
          <t>B′ ∩ A'</t>
        </is>
      </c>
      <c r="G18" s="9" t="inlineStr">
        <is>
          <t>(A′ ∪ B')</t>
        </is>
      </c>
      <c r="H18" s="9" t="inlineStr">
        <is>
          <t>(A ∩ B')</t>
        </is>
      </c>
      <c r="I18" s="10" t="inlineStr">
        <is>
          <t>D</t>
        </is>
      </c>
      <c r="J18" s="11" t="inlineStr">
        <is>
          <t>(By De Morgan's Law, the complement of union is equal to the intersection of complements)</t>
        </is>
      </c>
    </row>
    <row r="19" ht="42" customHeight="1">
      <c r="A19" s="7" t="n">
        <v>17</v>
      </c>
      <c r="B19" s="7" t="inlineStr">
        <is>
          <t>Easy</t>
        </is>
      </c>
      <c r="C19" s="9" t="inlineStr">
        <is>
          <t>De Morgan’s Laws</t>
        </is>
      </c>
      <c r="D19" s="9" t="inlineStr">
        <is>
          <t>(A ∩ B)′ ∩ (A ∪ B)' = ?</t>
        </is>
      </c>
      <c r="E19" s="9" t="inlineStr">
        <is>
          <t>∅</t>
        </is>
      </c>
      <c r="F19" s="9" t="inlineStr">
        <is>
          <t>A′ ∩ B'</t>
        </is>
      </c>
      <c r="G19" s="9" t="inlineStr">
        <is>
          <t>B′ ∩ A</t>
        </is>
      </c>
      <c r="H19" s="9" t="inlineStr">
        <is>
          <t>(A ∩ B)</t>
        </is>
      </c>
      <c r="I19" s="10" t="inlineStr">
        <is>
          <t>C</t>
        </is>
      </c>
      <c r="J19" s="11" t="inlineStr">
        <is>
          <t>(By De Morgan's Law, the intersection of complements of union and intersection is empty)</t>
        </is>
      </c>
    </row>
    <row r="20" ht="42" customHeight="1">
      <c r="A20" s="7" t="n">
        <v>18</v>
      </c>
      <c r="B20" s="7" t="inlineStr">
        <is>
          <t>Easy</t>
        </is>
      </c>
      <c r="C20" s="9" t="inlineStr">
        <is>
          <t>Basic Set Concepts (elements, subsets, types of sets)</t>
        </is>
      </c>
      <c r="D20" s="9" t="inlineStr">
        <is>
          <t>If A = {1, 2, 3} and B = {2, 4}, find A ∩ B</t>
        </is>
      </c>
      <c r="E20" s="9" t="inlineStr">
        <is>
          <t>{2}</t>
        </is>
      </c>
      <c r="F20" s="9" t="inlineStr">
        <is>
          <t>{1, 2, 3} ∩ {2, 4} = {2}</t>
        </is>
      </c>
      <c r="G20" s="9" t="inlineStr">
        <is>
          <t>{1, 2, 3} ∩ {2, 4} = {}</t>
        </is>
      </c>
      <c r="H20" s="9" t="inlineStr">
        <is>
          <t>{1, 2, 3} ∩ {2, 4} = {1, 4}</t>
        </is>
      </c>
      <c r="I20" s="10" t="inlineStr">
        <is>
          <t>B</t>
        </is>
      </c>
      <c r="J20" s="11" t="inlineStr">
        <is>
          <t>The intersection of two sets is the set of elements common to both.</t>
        </is>
      </c>
    </row>
    <row r="21" ht="42" customHeight="1">
      <c r="A21" s="7" t="n">
        <v>19</v>
      </c>
      <c r="B21" s="7" t="inlineStr">
        <is>
          <t>Easy</t>
        </is>
      </c>
      <c r="C21" s="9" t="inlineStr">
        <is>
          <t>Basic Set Concepts (elements, subsets, types of sets)</t>
        </is>
      </c>
      <c r="D21" s="9" t="inlineStr">
        <is>
          <t>Let A and B be finite sets. If</t>
        </is>
      </c>
      <c r="E21" s="9" t="inlineStr">
        <is>
          <t>A</t>
        </is>
      </c>
      <c r="F21" s="9">
        <f> 5 and</f>
        <v/>
      </c>
      <c r="G21" s="9" t="inlineStr">
        <is>
          <t>A ∪ B</t>
        </is>
      </c>
      <c r="H21" s="9">
        <f> 8, find</f>
        <v/>
      </c>
      <c r="I21" s="10" t="inlineStr">
        <is>
          <t>B</t>
        </is>
      </c>
      <c r="J21" s="11" t="inlineStr"/>
    </row>
    <row r="22" ht="42" customHeight="1">
      <c r="A22" s="7" t="n">
        <v>20</v>
      </c>
      <c r="B22" s="7" t="inlineStr">
        <is>
          <t>Easy</t>
        </is>
      </c>
      <c r="C22" s="9" t="inlineStr">
        <is>
          <t>Operations on Sets (union, intersection, difference)</t>
        </is>
      </c>
      <c r="D22" s="9" t="inlineStr">
        <is>
          <t>Let U = {1, 2, 3}, A = {1, 2} and B = {2, 3}. Find A ∩ B</t>
        </is>
      </c>
      <c r="E22" s="9" t="inlineStr">
        <is>
          <t>A only</t>
        </is>
      </c>
      <c r="F22" s="9" t="inlineStr">
        <is>
          <t>B only</t>
        </is>
      </c>
      <c r="G22" s="9" t="inlineStr">
        <is>
          <t>{1, 2}</t>
        </is>
      </c>
      <c r="H22" s="9" t="inlineStr">
        <is>
          <t>{2, 3}</t>
        </is>
      </c>
      <c r="I22" s="10" t="inlineStr">
        <is>
          <t>C</t>
        </is>
      </c>
      <c r="J22" s="11" t="inlineStr">
        <is>
          <t>The sets intersect at elements 2.</t>
        </is>
      </c>
    </row>
    <row r="23" ht="42" customHeight="1">
      <c r="A23" s="7" t="n">
        <v>21</v>
      </c>
      <c r="B23" s="7" t="inlineStr">
        <is>
          <t>Easy</t>
        </is>
      </c>
      <c r="C23" s="9" t="inlineStr">
        <is>
          <t>Operations on Sets (union, intersection, difference)</t>
        </is>
      </c>
      <c r="D23" s="9" t="inlineStr">
        <is>
          <t>Let U = {a, b, c}, A = {a, b} and B = {b, c}. Find A ∪ B</t>
        </is>
      </c>
      <c r="E23" s="9" t="inlineStr">
        <is>
          <t>A only</t>
        </is>
      </c>
      <c r="F23" s="9" t="inlineStr">
        <is>
          <t>B only</t>
        </is>
      </c>
      <c r="G23" s="9" t="inlineStr">
        <is>
          <t>{a, b, c}</t>
        </is>
      </c>
      <c r="H23" s="9" t="inlineStr">
        <is>
          <t>{a, c}</t>
        </is>
      </c>
      <c r="I23" s="10" t="inlineStr">
        <is>
          <t>D</t>
        </is>
      </c>
      <c r="J23" s="11" t="inlineStr">
        <is>
          <t>The union of sets is the set of all elements that are in either set.</t>
        </is>
      </c>
    </row>
    <row r="24" ht="42" customHeight="1">
      <c r="A24" s="7" t="n">
        <v>22</v>
      </c>
      <c r="B24" s="7" t="inlineStr">
        <is>
          <t>Easy</t>
        </is>
      </c>
      <c r="C24" s="9" t="inlineStr">
        <is>
          <t>Operations on Sets (union, intersection, difference)</t>
        </is>
      </c>
      <c r="D24" s="9" t="inlineStr">
        <is>
          <t>Let U = {1, 2, 3}, A = {1} and B = {2}. Find A ∆ B</t>
        </is>
      </c>
      <c r="E24" s="9" t="inlineStr">
        <is>
          <t>{1, 3}</t>
        </is>
      </c>
      <c r="F24" s="9" t="inlineStr">
        <is>
          <t>{1, 2}</t>
        </is>
      </c>
      <c r="G24" s="9" t="inlineStr">
        <is>
          <t>{2, 3}</t>
        </is>
      </c>
      <c r="H24" s="9" t="inlineStr">
        <is>
          <t>{}</t>
        </is>
      </c>
      <c r="I24" s="10" t="inlineStr">
        <is>
          <t>B</t>
        </is>
      </c>
      <c r="J24" s="11" t="inlineStr">
        <is>
          <t>The difference of sets is the set of elements that are in one set but not the other.</t>
        </is>
      </c>
    </row>
    <row r="25" ht="42" customHeight="1">
      <c r="A25" s="7" t="n">
        <v>23</v>
      </c>
      <c r="B25" s="7" t="inlineStr">
        <is>
          <t>Easy</t>
        </is>
      </c>
      <c r="C25" s="9" t="inlineStr">
        <is>
          <t>Operations on Sets (union, intersection, difference)</t>
        </is>
      </c>
      <c r="D25" s="9" t="inlineStr">
        <is>
          <t>Let U = {x, y}, A = {x} and B = {}. Find A ∩ B</t>
        </is>
      </c>
      <c r="E25" s="9" t="inlineStr">
        <is>
          <t>{x}</t>
        </is>
      </c>
      <c r="F25" s="9" t="inlineStr">
        <is>
          <t>{}</t>
        </is>
      </c>
      <c r="G25" s="9" t="inlineStr">
        <is>
          <t>A only</t>
        </is>
      </c>
      <c r="H25" s="9" t="inlineStr">
        <is>
          <t>B only</t>
        </is>
      </c>
      <c r="I25" s="10" t="inlineStr">
        <is>
          <t>C</t>
        </is>
      </c>
      <c r="J25" s="11" t="inlineStr">
        <is>
          <t>The intersection of sets is always empty when one set is a subset of the other.</t>
        </is>
      </c>
    </row>
    <row r="26" ht="42" customHeight="1">
      <c r="A26" s="7" t="n">
        <v>24</v>
      </c>
      <c r="B26" s="7" t="inlineStr">
        <is>
          <t>Easy</t>
        </is>
      </c>
      <c r="C26" s="9" t="inlineStr">
        <is>
          <t>Cardinality of Sets</t>
        </is>
      </c>
      <c r="D26" s="9" t="inlineStr">
        <is>
          <t>Two sets A and B have cardinalities</t>
        </is>
      </c>
      <c r="E26" s="9" t="inlineStr">
        <is>
          <t>n(A)</t>
        </is>
      </c>
      <c r="F26" s="9">
        <f> 5 and</f>
        <v/>
      </c>
      <c r="G26" s="9" t="inlineStr">
        <is>
          <t>n(B)</t>
        </is>
      </c>
      <c r="H26" s="9">
        <f> 3. What is the maximum possible value of</f>
        <v/>
      </c>
      <c r="I26" s="10" t="inlineStr">
        <is>
          <t>A</t>
        </is>
      </c>
      <c r="J26" s="11" t="inlineStr">
        <is>
          <t>?</t>
        </is>
      </c>
    </row>
    <row r="27" ht="42" customHeight="1">
      <c r="A27" s="7" t="n">
        <v>25</v>
      </c>
      <c r="B27" s="7" t="inlineStr">
        <is>
          <t>Easy</t>
        </is>
      </c>
      <c r="C27" s="9" t="inlineStr">
        <is>
          <t>Application-based Set Theory Problems</t>
        </is>
      </c>
      <c r="D27" s="9" t="inlineStr">
        <is>
          <t>If A = {1, 2, 3} and B = {2, 3, 4}, find A ∪ B - (A ∩ B).</t>
        </is>
      </c>
      <c r="E27" s="9" t="inlineStr">
        <is>
          <t>{1, 2, 3, 4}</t>
        </is>
      </c>
      <c r="F27" s="9" t="inlineStr">
        <is>
          <t>{1, 2, 3, 4}</t>
        </is>
      </c>
      <c r="G27" s="9" t="inlineStr">
        <is>
          <t>{1, 2, 3, 4}</t>
        </is>
      </c>
      <c r="H27" s="9" t="inlineStr">
        <is>
          <t>{1, 2, 3, 4}</t>
        </is>
      </c>
      <c r="I27" s="10" t="inlineStr">
        <is>
          <t>D</t>
        </is>
      </c>
      <c r="J27" s="11" t="inlineStr">
        <is>
          <t>Use set operations to find the union and intersection.</t>
        </is>
      </c>
    </row>
    <row r="28" ht="42" customHeight="1">
      <c r="A28" s="7" t="n">
        <v>26</v>
      </c>
      <c r="B28" s="7" t="inlineStr">
        <is>
          <t>Easy</t>
        </is>
      </c>
      <c r="C28" s="9" t="inlineStr">
        <is>
          <t>Application-based Set Theory Problems</t>
        </is>
      </c>
      <c r="D28" s="9" t="inlineStr">
        <is>
          <t>If A is a subset of B and C is a subset of A, prove that C is also a subset of B.</t>
        </is>
      </c>
      <c r="E28" s="9" t="inlineStr">
        <is>
          <t>-</t>
        </is>
      </c>
      <c r="F28" s="9" t="inlineStr">
        <is>
          <t>-</t>
        </is>
      </c>
      <c r="G28" s="9" t="inlineStr">
        <is>
          <t>-</t>
        </is>
      </c>
      <c r="H28" s="9" t="inlineStr">
        <is>
          <t>-</t>
        </is>
      </c>
      <c r="I28" s="10" t="inlineStr">
        <is>
          <t>A</t>
        </is>
      </c>
      <c r="J28" s="11" t="inlineStr">
        <is>
          <t>Transitive property: if A ⊆ B and C ⊆ A, then C ⊆ B.</t>
        </is>
      </c>
    </row>
    <row r="29" ht="42" customHeight="1">
      <c r="A29" s="7" t="n">
        <v>27</v>
      </c>
      <c r="B29" s="7" t="inlineStr">
        <is>
          <t>Easy</t>
        </is>
      </c>
      <c r="C29" s="9" t="inlineStr">
        <is>
          <t>Complement of Sets</t>
        </is>
      </c>
      <c r="D29" s="9" t="inlineStr">
        <is>
          <t>If A ∩ B = {x}, what is the complement of A ∪ B?</t>
        </is>
      </c>
      <c r="E29" s="9" t="inlineStr">
        <is>
          <t>{y} where y ∈ U and y ≠ x</t>
        </is>
      </c>
      <c r="F29" s="9" t="inlineStr">
        <is>
          <t>{z} where z ∈ U and z ≠ x</t>
        </is>
      </c>
      <c r="G29" s="9" t="inlineStr">
        <is>
          <t>{w} where w ∈ U and w ≠ x</t>
        </is>
      </c>
      <c r="H29" s="9" t="inlineStr">
        <is>
          <t>{v} where v ∈ U and v ≠ x</t>
        </is>
      </c>
      <c r="I29" s="10" t="inlineStr">
        <is>
          <t>A</t>
        </is>
      </c>
      <c r="J29" s="11" t="inlineStr">
        <is>
          <t>The complement of A ∪ B is the set of all elements in U that are not in either A or B.</t>
        </is>
      </c>
    </row>
    <row r="30" ht="42" customHeight="1">
      <c r="A30" s="7" t="n">
        <v>28</v>
      </c>
      <c r="B30" s="7" t="inlineStr">
        <is>
          <t>Easy</t>
        </is>
      </c>
      <c r="C30" s="9" t="inlineStr">
        <is>
          <t>Complement of Sets</t>
        </is>
      </c>
      <c r="D30" s="9" t="inlineStr">
        <is>
          <t>Let A be a subset of the universal set U. What is the relationship between A and its complement?</t>
        </is>
      </c>
      <c r="E30" s="9" t="inlineStr">
        <is>
          <t>A and its complement are disjoint sets</t>
        </is>
      </c>
      <c r="F30" s="9" t="inlineStr">
        <is>
          <t>A is a proper subset of its complement</t>
        </is>
      </c>
      <c r="G30" s="9" t="inlineStr">
        <is>
          <t>The complement of A is a proper subset of A</t>
        </is>
      </c>
      <c r="H30" s="9" t="inlineStr">
        <is>
          <t>A and its complement have an empty intersection</t>
        </is>
      </c>
      <c r="I30" s="10" t="inlineStr">
        <is>
          <t>B</t>
        </is>
      </c>
      <c r="J30" s="11" t="inlineStr">
        <is>
          <t>The complement of A is the set of all elements in U that are not in A.</t>
        </is>
      </c>
    </row>
    <row r="31" ht="42" customHeight="1">
      <c r="A31" s="7" t="n">
        <v>29</v>
      </c>
      <c r="B31" s="7" t="inlineStr">
        <is>
          <t>Easy</t>
        </is>
      </c>
      <c r="C31" s="9" t="inlineStr">
        <is>
          <t>Complement of Sets</t>
        </is>
      </c>
      <c r="D31" s="9" t="inlineStr">
        <is>
          <t>If A ∪ B = U, what is the complement of A?</t>
        </is>
      </c>
      <c r="E31" s="9" t="inlineStr">
        <is>
          <t>∅</t>
        </is>
      </c>
      <c r="F31" s="9" t="inlineStr">
        <is>
          <t>{x} where x ∈ U</t>
        </is>
      </c>
      <c r="G31" s="9" t="inlineStr">
        <is>
          <t>{y} where y ∈ U and y ≠ x</t>
        </is>
      </c>
      <c r="H31" s="9" t="inlineStr">
        <is>
          <t>B</t>
        </is>
      </c>
      <c r="I31" s="10" t="inlineStr">
        <is>
          <t>C</t>
        </is>
      </c>
      <c r="J31" s="11" t="inlineStr">
        <is>
          <t>The complement of A is the set of all elements in U that are not in A.</t>
        </is>
      </c>
    </row>
    <row r="32" ht="42" customHeight="1">
      <c r="A32" s="7" t="n">
        <v>30</v>
      </c>
      <c r="B32" s="7" t="inlineStr">
        <is>
          <t>Easy</t>
        </is>
      </c>
      <c r="C32" s="9" t="inlineStr">
        <is>
          <t>Word Problems using Sets</t>
        </is>
      </c>
      <c r="D32" s="9" t="inlineStr">
        <is>
          <t>A bookshelf has 3 shelves, and each shelf can hold at most 5 books. If the bookshelf is currently empty, how many ways are there to put 10 books on it?</t>
        </is>
      </c>
      <c r="E32" s="9" t="inlineStr">
        <is>
          <t>1 way</t>
        </is>
      </c>
      <c r="F32" s="9" t="inlineStr">
        <is>
          <t>2 ways</t>
        </is>
      </c>
      <c r="G32" s="9" t="inlineStr">
        <is>
          <t>3 ways</t>
        </is>
      </c>
      <c r="H32" s="9" t="inlineStr">
        <is>
          <t>4 ways</t>
        </is>
      </c>
      <c r="I32" s="10" t="inlineStr">
        <is>
          <t>C</t>
        </is>
      </c>
      <c r="J32" s="11" t="inlineStr">
        <is>
          <t>Use the formula for combinations: C(10+3-1, 10) = 6.</t>
        </is>
      </c>
    </row>
    <row r="33" ht="42" customHeight="1">
      <c r="A33" s="7" t="n">
        <v>31</v>
      </c>
      <c r="B33" s="7" t="inlineStr">
        <is>
          <t>Easy</t>
        </is>
      </c>
      <c r="C33" s="9" t="inlineStr">
        <is>
          <t>Word Problems using Sets</t>
        </is>
      </c>
      <c r="D33" s="9" t="inlineStr">
        <is>
          <t>A set of 5 friends like different types of music. If 3 friends like rock and 2 friends like pop, how many ways are there to choose a friend who likes either rock or pop?</t>
        </is>
      </c>
      <c r="E33" s="9" t="inlineStr">
        <is>
          <t>4 ways</t>
        </is>
      </c>
      <c r="F33" s="9" t="inlineStr">
        <is>
          <t>5 ways</t>
        </is>
      </c>
      <c r="G33" s="9" t="inlineStr">
        <is>
          <t>6 ways</t>
        </is>
      </c>
      <c r="H33" s="9" t="inlineStr">
        <is>
          <t>7 ways</t>
        </is>
      </c>
      <c r="I33" s="10" t="inlineStr">
        <is>
          <t>B</t>
        </is>
      </c>
      <c r="J33" s="11" t="inlineStr">
        <is>
          <t>Use the formula for unions:</t>
        </is>
      </c>
    </row>
    <row r="34" ht="42" customHeight="1">
      <c r="A34" s="7" t="n">
        <v>32</v>
      </c>
      <c r="B34" s="7" t="inlineStr">
        <is>
          <t>Easy</t>
        </is>
      </c>
      <c r="C34" s="9" t="inlineStr">
        <is>
          <t>Word Problems using Sets</t>
        </is>
      </c>
      <c r="D34" s="9" t="inlineStr">
        <is>
          <t>A set of 8 students has 3 clubs: math, science, and art. If 2 students are in both math and science, 1 student is only in math, and 4 students are not in any club, how many ways are there to choose a student who is in at least one club?</t>
        </is>
      </c>
      <c r="E34" s="9" t="inlineStr">
        <is>
          <t>5 ways</t>
        </is>
      </c>
      <c r="F34" s="9" t="inlineStr">
        <is>
          <t>6 ways</t>
        </is>
      </c>
      <c r="G34" s="9" t="inlineStr">
        <is>
          <t>7 ways</t>
        </is>
      </c>
      <c r="H34" s="9" t="inlineStr">
        <is>
          <t>8 ways</t>
        </is>
      </c>
      <c r="I34" s="10" t="inlineStr">
        <is>
          <t>D</t>
        </is>
      </c>
      <c r="J34" s="11" t="inlineStr">
        <is>
          <t>Use the formula for complements:</t>
        </is>
      </c>
    </row>
    <row r="35" ht="42" customHeight="1">
      <c r="A35" s="7" t="n">
        <v>33</v>
      </c>
      <c r="B35" s="7" t="inlineStr">
        <is>
          <t>Easy</t>
        </is>
      </c>
      <c r="C35" s="9" t="inlineStr">
        <is>
          <t>Word Problems using Sets</t>
        </is>
      </c>
      <c r="D35" s="9" t="inlineStr">
        <is>
          <t>A set of 12 students has a favorite color. If 4 students like blue, 3 students like red, and 2 students like both blue and red, how many ways are there to choose a student who likes either blue or red?</t>
        </is>
      </c>
      <c r="E35" s="9" t="inlineStr">
        <is>
          <t>8 ways</t>
        </is>
      </c>
      <c r="F35" s="9" t="inlineStr">
        <is>
          <t>9 ways</t>
        </is>
      </c>
      <c r="G35" s="9" t="inlineStr">
        <is>
          <t>10 ways</t>
        </is>
      </c>
      <c r="H35" s="9" t="inlineStr">
        <is>
          <t>11 ways</t>
        </is>
      </c>
      <c r="I35" s="10" t="inlineStr">
        <is>
          <t>C</t>
        </is>
      </c>
      <c r="J35" s="11" t="inlineStr">
        <is>
          <t>Use the formula for unions:</t>
        </is>
      </c>
    </row>
    <row r="36" ht="42" customHeight="1">
      <c r="A36" s="7" t="n">
        <v>34</v>
      </c>
      <c r="B36" s="7" t="inlineStr">
        <is>
          <t>Easy</t>
        </is>
      </c>
      <c r="C36" s="9" t="inlineStr">
        <is>
          <t>Venn Diagram Problems (3 sets)</t>
        </is>
      </c>
      <c r="D36" s="9" t="inlineStr">
        <is>
          <t>Three sets A, B, and C are given. If A ∩ B = 5, A ∩ C = 2, and B ∩ C = 3, find the number of elements in A U B U C.</t>
        </is>
      </c>
      <c r="E36" s="9" t="inlineStr">
        <is>
          <t>10</t>
        </is>
      </c>
      <c r="F36" s="9" t="inlineStr">
        <is>
          <t>11</t>
        </is>
      </c>
      <c r="G36" s="9" t="inlineStr">
        <is>
          <t>12</t>
        </is>
      </c>
      <c r="H36" s="9" t="inlineStr">
        <is>
          <t>13</t>
        </is>
      </c>
      <c r="I36" s="10" t="inlineStr">
        <is>
          <t>D</t>
        </is>
      </c>
      <c r="J36" s="11" t="inlineStr">
        <is>
          <t>Use Venn diagram to find A U B U C = (A ∩ B) + (A ∩ C) + (B ∩ C) + (A ∪ B ∪ C)</t>
        </is>
      </c>
    </row>
    <row r="37" ht="42" customHeight="1">
      <c r="A37" s="7" t="n">
        <v>35</v>
      </c>
      <c r="B37" s="7" t="inlineStr">
        <is>
          <t>Easy</t>
        </is>
      </c>
      <c r="C37" s="9" t="inlineStr">
        <is>
          <t>Set Identities and Properties</t>
        </is>
      </c>
      <c r="D37" s="9" t="inlineStr">
        <is>
          <t>If A ∩ B is empty, which of the following must be true?</t>
        </is>
      </c>
      <c r="E37" s="9" t="inlineStr">
        <is>
          <t>A is subset of B</t>
        </is>
      </c>
      <c r="F37" s="9" t="inlineStr">
        <is>
          <t>B is subset of A</t>
        </is>
      </c>
      <c r="G37" s="9" t="inlineStr">
        <is>
          <t>A and B are disjoint sets</t>
        </is>
      </c>
      <c r="H37" s="9" t="inlineStr">
        <is>
          <t>A is equal to B</t>
        </is>
      </c>
      <c r="I37" s="10" t="inlineStr">
        <is>
          <t>D</t>
        </is>
      </c>
      <c r="J37" s="11" t="inlineStr">
        <is>
          <t>Since A ∩ B is empty, A and B are disjoint sets.</t>
        </is>
      </c>
    </row>
    <row r="38" ht="42" customHeight="1">
      <c r="A38" s="7" t="n">
        <v>36</v>
      </c>
      <c r="B38" s="7" t="inlineStr">
        <is>
          <t>Easy</t>
        </is>
      </c>
      <c r="C38" s="9" t="inlineStr">
        <is>
          <t>Set Identities and Properties</t>
        </is>
      </c>
      <c r="D38" s="9" t="inlineStr">
        <is>
          <t>If U = A ∪ B, what is the relationship between A and B?</t>
        </is>
      </c>
      <c r="E38" s="9" t="inlineStr">
        <is>
          <t>A ⊆ B</t>
        </is>
      </c>
      <c r="F38" s="9" t="inlineStr">
        <is>
          <t>B ⊆ A</t>
        </is>
      </c>
      <c r="G38" s="9" t="inlineStr">
        <is>
          <t>A and B are equal</t>
        </is>
      </c>
      <c r="H38" s="9" t="inlineStr">
        <is>
          <t>A and B are disjoint</t>
        </is>
      </c>
      <c r="I38" s="10" t="inlineStr">
        <is>
          <t>D</t>
        </is>
      </c>
      <c r="J38" s="11" t="inlineStr">
        <is>
          <t>Since U = A ∪ B, A and B must be disjoint sets.</t>
        </is>
      </c>
    </row>
    <row r="39" ht="42" customHeight="1">
      <c r="A39" s="7" t="n">
        <v>37</v>
      </c>
      <c r="B39" s="7" t="inlineStr">
        <is>
          <t>Easy</t>
        </is>
      </c>
      <c r="C39" s="9" t="inlineStr">
        <is>
          <t>Set Identities and Properties</t>
        </is>
      </c>
      <c r="D39" s="9" t="inlineStr">
        <is>
          <t>If A ⊆ B and B ⊆ C, what is the relationship between A and C?</t>
        </is>
      </c>
      <c r="E39" s="9" t="inlineStr">
        <is>
          <t>A ⊆ C</t>
        </is>
      </c>
      <c r="F39" s="9" t="inlineStr">
        <is>
          <t>C ⊆ A</t>
        </is>
      </c>
      <c r="G39" s="9" t="inlineStr">
        <is>
          <t>A and C are equal</t>
        </is>
      </c>
      <c r="H39" s="9" t="inlineStr">
        <is>
          <t>A and C are disjoint</t>
        </is>
      </c>
      <c r="I39" s="10" t="inlineStr">
        <is>
          <t>B</t>
        </is>
      </c>
      <c r="J39" s="11" t="inlineStr">
        <is>
          <t>Since A ⊆ B and B ⊆ C, A ⊆ C.</t>
        </is>
      </c>
    </row>
    <row r="40" ht="42" customHeight="1">
      <c r="A40" s="7" t="n">
        <v>38</v>
      </c>
      <c r="B40" s="7" t="inlineStr">
        <is>
          <t>Easy</t>
        </is>
      </c>
      <c r="C40" s="9" t="inlineStr">
        <is>
          <t>Set Identities and Properties</t>
        </is>
      </c>
      <c r="D40" s="9" t="inlineStr">
        <is>
          <t>If A ∩ B = ∅ and A ∪ B = U, what is the relationship between A and B?</t>
        </is>
      </c>
      <c r="E40" s="9" t="inlineStr">
        <is>
          <t>A and B are equal</t>
        </is>
      </c>
      <c r="F40" s="9" t="inlineStr">
        <is>
          <t>A and B are disjoint</t>
        </is>
      </c>
      <c r="G40" s="9" t="inlineStr">
        <is>
          <t>B is subset of A</t>
        </is>
      </c>
      <c r="H40" s="9" t="inlineStr">
        <is>
          <t>A is subset of B</t>
        </is>
      </c>
      <c r="I40" s="10" t="inlineStr">
        <is>
          <t>D</t>
        </is>
      </c>
      <c r="J40" s="11" t="inlineStr">
        <is>
          <t>Since A ∩ B = ∅ and A ∪ B = U, A and B must be disjoint sets.</t>
        </is>
      </c>
    </row>
    <row r="41" ht="42" customHeight="1">
      <c r="A41" s="7" t="n">
        <v>39</v>
      </c>
      <c r="B41" s="7" t="inlineStr">
        <is>
          <t>Easy</t>
        </is>
      </c>
      <c r="C41" s="9" t="inlineStr">
        <is>
          <t>Venn Diagram Problems (2 sets)</t>
        </is>
      </c>
      <c r="D41" s="9" t="inlineStr">
        <is>
          <t>Let U be the universal set, A and B be two sets. If</t>
        </is>
      </c>
      <c r="E41" s="9" t="inlineStr">
        <is>
          <t>A ∩ B</t>
        </is>
      </c>
      <c r="F41" s="9">
        <f> 3,</f>
        <v/>
      </c>
      <c r="G41" s="9" t="inlineStr">
        <is>
          <t>A c</t>
        </is>
      </c>
      <c r="H41" s="9">
        <f> 5, and</f>
        <v/>
      </c>
      <c r="I41" s="10" t="inlineStr">
        <is>
          <t>B</t>
        </is>
      </c>
      <c r="J41" s="11">
        <f> 7, find</f>
        <v/>
      </c>
    </row>
    <row r="42" ht="42" customHeight="1">
      <c r="A42" s="7" t="n">
        <v>40</v>
      </c>
      <c r="B42" s="7" t="inlineStr">
        <is>
          <t>Easy</t>
        </is>
      </c>
      <c r="C42" s="9" t="inlineStr">
        <is>
          <t>Venn Diagram Problems (2 sets)</t>
        </is>
      </c>
      <c r="D42" s="9" t="inlineStr">
        <is>
          <t>In a Venn diagram with two overlapping sets, A and B, if</t>
        </is>
      </c>
      <c r="E42" s="9" t="inlineStr">
        <is>
          <t>A ∩ B</t>
        </is>
      </c>
      <c r="F42" s="9">
        <f> 4 and</f>
        <v/>
      </c>
      <c r="G42" s="9" t="inlineStr">
        <is>
          <t>A c</t>
        </is>
      </c>
      <c r="H42" s="9">
        <f> 6, find</f>
        <v/>
      </c>
      <c r="I42" s="10" t="inlineStr">
        <is>
          <t>B</t>
        </is>
      </c>
      <c r="J42" s="11" t="inlineStr">
        <is>
          <t>. A) 8 B) 10 C) 12 D) 14</t>
        </is>
      </c>
    </row>
    <row r="43" ht="42" customHeight="1">
      <c r="A43" s="7" t="n">
        <v>41</v>
      </c>
      <c r="B43" s="7" t="inlineStr">
        <is>
          <t>Easy</t>
        </is>
      </c>
      <c r="C43" s="9" t="inlineStr">
        <is>
          <t>De Morgan’s Laws</t>
        </is>
      </c>
      <c r="D43" s="9" t="inlineStr">
        <is>
          <t>(A ∩ B)' = ?</t>
        </is>
      </c>
      <c r="E43" s="9" t="inlineStr">
        <is>
          <t>(B' ∩ A')</t>
        </is>
      </c>
      <c r="F43" s="9" t="inlineStr">
        <is>
          <t>A'</t>
        </is>
      </c>
      <c r="G43" s="9" t="inlineStr">
        <is>
          <t>B'</t>
        </is>
      </c>
      <c r="H43" s="9" t="inlineStr">
        <is>
          <t>A' ∪ B'</t>
        </is>
      </c>
      <c r="I43" s="10" t="inlineStr">
        <is>
          <t>A</t>
        </is>
      </c>
      <c r="J43" s="11" t="inlineStr"/>
    </row>
    <row r="44" ht="42" customHeight="1">
      <c r="A44" s="7" t="n">
        <v>42</v>
      </c>
      <c r="B44" s="7" t="inlineStr">
        <is>
          <t>Easy</t>
        </is>
      </c>
      <c r="C44" s="9" t="inlineStr">
        <is>
          <t>De Morgan’s Laws</t>
        </is>
      </c>
      <c r="D44" s="9" t="inlineStr">
        <is>
          <t>(A ∩ B)' ∩ (A ∪ B)' = ?</t>
        </is>
      </c>
      <c r="E44" s="9" t="inlineStr">
        <is>
          <t>∅</t>
        </is>
      </c>
      <c r="F44" s="9" t="inlineStr">
        <is>
          <t>A'</t>
        </is>
      </c>
      <c r="G44" s="9" t="inlineStr">
        <is>
          <t>B'</t>
        </is>
      </c>
      <c r="H44" s="9" t="inlineStr">
        <is>
          <t>(A ∪ B) ∩ (A ∩ B)</t>
        </is>
      </c>
      <c r="I44" s="10" t="inlineStr">
        <is>
          <t>A</t>
        </is>
      </c>
      <c r="J44" s="11" t="inlineStr"/>
    </row>
    <row r="45" ht="42" customHeight="1">
      <c r="A45" s="7" t="n">
        <v>43</v>
      </c>
      <c r="B45" s="7" t="inlineStr">
        <is>
          <t>Easy</t>
        </is>
      </c>
      <c r="C45" s="9" t="inlineStr">
        <is>
          <t>Basic Set Concepts (elements, subsets, types of sets)</t>
        </is>
      </c>
      <c r="D45" s="9" t="inlineStr">
        <is>
          <t>Is the set {1, 2, 3} equal to the set {3, 2, 1}?</t>
        </is>
      </c>
      <c r="E45" s="9" t="inlineStr">
        <is>
          <t>A) Yes</t>
        </is>
      </c>
      <c r="F45" s="9" t="inlineStr">
        <is>
          <t>B) No</t>
        </is>
      </c>
      <c r="G45" s="9" t="inlineStr">
        <is>
          <t>C) Subset</t>
        </is>
      </c>
      <c r="H45" s="9" t="inlineStr">
        <is>
          <t>D) Superset</t>
        </is>
      </c>
      <c r="I45" s="10" t="inlineStr">
        <is>
          <t>A</t>
        </is>
      </c>
      <c r="J45" s="11" t="inlineStr">
        <is>
          <t>Order of elements does not matter in a set.</t>
        </is>
      </c>
    </row>
    <row r="46" ht="42" customHeight="1">
      <c r="A46" s="7" t="n">
        <v>44</v>
      </c>
      <c r="B46" s="7" t="inlineStr">
        <is>
          <t>Easy</t>
        </is>
      </c>
      <c r="C46" s="9" t="inlineStr">
        <is>
          <t>Basic Set Concepts (elements, subsets, types of sets)</t>
        </is>
      </c>
      <c r="D46" s="9" t="inlineStr">
        <is>
          <t>What is the complement of the set A = {1, 2, 3} with respect to the universal set U = {1, 2, 3, 4, 5}?</t>
        </is>
      </c>
      <c r="E46" s="9" t="inlineStr">
        <is>
          <t>A) {4, 5}</t>
        </is>
      </c>
      <c r="F46" s="9" t="inlineStr">
        <is>
          <t>B) {1, 2, 3}</t>
        </is>
      </c>
      <c r="G46" s="9" t="inlineStr">
        <is>
          <t>C) {}</t>
        </is>
      </c>
      <c r="H46" s="9" t="inlineStr">
        <is>
          <t>D) {1, 2, 3, 4, 5}</t>
        </is>
      </c>
      <c r="I46" s="10" t="inlineStr">
        <is>
          <t>A</t>
        </is>
      </c>
      <c r="J46" s="11" t="inlineStr">
        <is>
          <t>Complement of A is the set of all elements in U that are not in A.</t>
        </is>
      </c>
    </row>
    <row r="47" ht="42" customHeight="1">
      <c r="A47" s="7" t="n">
        <v>45</v>
      </c>
      <c r="B47" s="7" t="inlineStr">
        <is>
          <t>Easy</t>
        </is>
      </c>
      <c r="C47" s="9" t="inlineStr">
        <is>
          <t>Basic Set Concepts (elements, subsets, types of sets)</t>
        </is>
      </c>
      <c r="D47" s="9" t="inlineStr">
        <is>
          <t>Is the set {a, b} a subset of the set {a, b, c}?</t>
        </is>
      </c>
      <c r="E47" s="9" t="inlineStr">
        <is>
          <t>A) Yes</t>
        </is>
      </c>
      <c r="F47" s="9" t="inlineStr">
        <is>
          <t>B) No</t>
        </is>
      </c>
      <c r="G47" s="9" t="inlineStr">
        <is>
          <t>C) Subset but not proper</t>
        </is>
      </c>
      <c r="H47" s="9" t="inlineStr">
        <is>
          <t>D) Proper subset</t>
        </is>
      </c>
      <c r="I47" s="10" t="inlineStr">
        <is>
          <t>A</t>
        </is>
      </c>
      <c r="J47" s="11" t="inlineStr">
        <is>
          <t>Subset relation is reflexive and transitive.</t>
        </is>
      </c>
    </row>
    <row r="48" ht="42" customHeight="1">
      <c r="A48" s="7" t="n">
        <v>46</v>
      </c>
      <c r="B48" s="7" t="inlineStr">
        <is>
          <t>Easy</t>
        </is>
      </c>
      <c r="C48" s="9" t="inlineStr">
        <is>
          <t>Basic Set Concepts (elements, subsets, types of sets)</t>
        </is>
      </c>
      <c r="D48" s="9" t="inlineStr">
        <is>
          <t>What type of set is {1, 2, 3} if it contains only distinct elements?</t>
        </is>
      </c>
      <c r="E48" s="9" t="inlineStr">
        <is>
          <t>A) Finite</t>
        </is>
      </c>
      <c r="F48" s="9" t="inlineStr">
        <is>
          <t>B) Infinite</t>
        </is>
      </c>
      <c r="G48" s="9" t="inlineStr">
        <is>
          <t>C) Countable</t>
        </is>
      </c>
      <c r="H48" s="9" t="inlineStr">
        <is>
          <t>D) Uncountable</t>
        </is>
      </c>
      <c r="I48" s="10" t="inlineStr">
        <is>
          <t>A</t>
        </is>
      </c>
      <c r="J48" s="11" t="inlineStr">
        <is>
          <t>Finite means having a finite number of elements.</t>
        </is>
      </c>
    </row>
    <row r="49" ht="42" customHeight="1">
      <c r="A49" s="7" t="n">
        <v>47</v>
      </c>
      <c r="B49" s="7" t="inlineStr">
        <is>
          <t>Easy</t>
        </is>
      </c>
      <c r="C49" s="9" t="inlineStr">
        <is>
          <t>Operations on Sets (union, intersection, difference)</t>
        </is>
      </c>
      <c r="D49" s="9" t="inlineStr">
        <is>
          <t>Let U = {1, 2, 3}, A = {1, 2} and B = {2, 3}. Find U \ (A ∩ B).</t>
        </is>
      </c>
      <c r="E49" s="9" t="inlineStr">
        <is>
          <t>{1}</t>
        </is>
      </c>
      <c r="F49" s="9" t="inlineStr">
        <is>
          <t>{2, 3}</t>
        </is>
      </c>
      <c r="G49" s="9" t="inlineStr">
        <is>
          <t>{1, 3}</t>
        </is>
      </c>
      <c r="H49" s="9" t="inlineStr">
        <is>
          <t>{1, 2, 3}</t>
        </is>
      </c>
      <c r="I49" s="10" t="inlineStr">
        <is>
          <t>C</t>
        </is>
      </c>
      <c r="J49" s="11" t="inlineStr">
        <is>
          <t>U \ (A ∩ B) is the set of elements in U that are not common to A and B.</t>
        </is>
      </c>
    </row>
    <row r="50" ht="42" customHeight="1">
      <c r="A50" s="7" t="n">
        <v>48</v>
      </c>
      <c r="B50" s="7" t="inlineStr">
        <is>
          <t>Easy</t>
        </is>
      </c>
      <c r="C50" s="9" t="inlineStr">
        <is>
          <t>Operations on Sets (union, intersection, difference)</t>
        </is>
      </c>
      <c r="D50" s="9" t="inlineStr">
        <is>
          <t>Let A = {a, b} and B = {b, c}. Find A ∪ B.</t>
        </is>
      </c>
      <c r="E50" s="9" t="inlineStr">
        <is>
          <t>{a, b, c}</t>
        </is>
      </c>
      <c r="F50" s="9" t="inlineStr">
        <is>
          <t>{a, b}</t>
        </is>
      </c>
      <c r="G50" s="9" t="inlineStr">
        <is>
          <t>{a, c}</t>
        </is>
      </c>
      <c r="H50" s="9" t="inlineStr">
        <is>
          <t>{b, c}</t>
        </is>
      </c>
      <c r="I50" s="10" t="inlineStr">
        <is>
          <t>A</t>
        </is>
      </c>
      <c r="J50" s="11" t="inlineStr">
        <is>
          <t>A ∪ B contains all elements in sets A and B.</t>
        </is>
      </c>
    </row>
    <row r="51" ht="42" customHeight="1">
      <c r="A51" s="7" t="n">
        <v>49</v>
      </c>
      <c r="B51" s="7" t="inlineStr">
        <is>
          <t>Easy</t>
        </is>
      </c>
      <c r="C51" s="9" t="inlineStr">
        <is>
          <t>Operations on Sets (union, intersection, difference)</t>
        </is>
      </c>
      <c r="D51" s="9" t="inlineStr">
        <is>
          <t>If A = {1, 2, 3} and B = {2, 4}, find A - B.</t>
        </is>
      </c>
      <c r="E51" s="9" t="inlineStr">
        <is>
          <t>{1, 3}</t>
        </is>
      </c>
      <c r="F51" s="9" t="inlineStr">
        <is>
          <t>{1, 2, 3}</t>
        </is>
      </c>
      <c r="G51" s="9" t="inlineStr">
        <is>
          <t>{1, 2}</t>
        </is>
      </c>
      <c r="H51" s="9" t="inlineStr">
        <is>
          <t>{1, 3, 4}</t>
        </is>
      </c>
      <c r="I51" s="10" t="inlineStr">
        <is>
          <t>C</t>
        </is>
      </c>
      <c r="J51" s="11" t="inlineStr">
        <is>
          <t>A - B contains all elements in set A that are not in set B.</t>
        </is>
      </c>
    </row>
    <row r="52" ht="42" customHeight="1">
      <c r="A52" s="7" t="n">
        <v>50</v>
      </c>
      <c r="B52" s="7" t="inlineStr">
        <is>
          <t>Easy</t>
        </is>
      </c>
      <c r="C52" s="9" t="inlineStr">
        <is>
          <t>Cardinality of Sets</t>
        </is>
      </c>
      <c r="D52" s="9" t="inlineStr">
        <is>
          <t>Let A and B be finite sets. If</t>
        </is>
      </c>
      <c r="E52" s="9" t="inlineStr">
        <is>
          <t>A</t>
        </is>
      </c>
      <c r="F52" s="9">
        <f> 5 and</f>
        <v/>
      </c>
      <c r="G52" s="9" t="inlineStr">
        <is>
          <t>B</t>
        </is>
      </c>
      <c r="H52" s="9">
        <f> 3, what is the maximum possible value of</f>
        <v/>
      </c>
      <c r="I52" s="10" t="inlineStr">
        <is>
          <t>A</t>
        </is>
      </c>
      <c r="J52" s="11" t="inlineStr"/>
    </row>
    <row r="53" ht="42" customHeight="1">
      <c r="A53" s="7" t="n">
        <v>51</v>
      </c>
      <c r="B53" s="7" t="inlineStr">
        <is>
          <t>Easy</t>
        </is>
      </c>
      <c r="C53" s="9" t="inlineStr">
        <is>
          <t>Cardinality of Sets</t>
        </is>
      </c>
      <c r="D53" s="9" t="inlineStr">
        <is>
          <t>If A and B are finite sets with</t>
        </is>
      </c>
      <c r="E53" s="9" t="inlineStr">
        <is>
          <t>A</t>
        </is>
      </c>
      <c r="F53" s="9">
        <f> 2 and</f>
        <v/>
      </c>
      <c r="G53" s="9" t="inlineStr">
        <is>
          <t>B</t>
        </is>
      </c>
      <c r="H53" s="9">
        <f> 1, what is the value of</f>
        <v/>
      </c>
      <c r="I53" s="10" t="inlineStr">
        <is>
          <t>A</t>
        </is>
      </c>
      <c r="J53" s="11" t="inlineStr"/>
    </row>
    <row r="54" ht="42" customHeight="1">
      <c r="A54" s="7" t="n">
        <v>52</v>
      </c>
      <c r="B54" s="7" t="inlineStr">
        <is>
          <t>Easy</t>
        </is>
      </c>
      <c r="C54" s="9" t="inlineStr">
        <is>
          <t>Application-based Set Theory Problems</t>
        </is>
      </c>
      <c r="D54" s="9" t="inlineStr">
        <is>
          <t>Let U be the universal set containing all students in a university. If A is the set of students studying mathematics and B is the set of students studying computer science, find P(A ∩ B).</t>
        </is>
      </c>
      <c r="E54" s="9" t="inlineStr">
        <is>
          <t>0.2</t>
        </is>
      </c>
      <c r="F54" s="9" t="inlineStr">
        <is>
          <t>0.4</t>
        </is>
      </c>
      <c r="G54" s="9" t="inlineStr">
        <is>
          <t>0.5</t>
        </is>
      </c>
      <c r="H54" s="9" t="inlineStr">
        <is>
          <t>0.3</t>
        </is>
      </c>
      <c r="I54" s="10" t="inlineStr">
        <is>
          <t>A</t>
        </is>
      </c>
      <c r="J54" s="11" t="inlineStr">
        <is>
          <t>P(A ∩ B) = P(A) × P(B) since events are independent.</t>
        </is>
      </c>
    </row>
    <row r="55" ht="42" customHeight="1">
      <c r="A55" s="7" t="n">
        <v>53</v>
      </c>
      <c r="B55" s="7" t="inlineStr">
        <is>
          <t>Easy</t>
        </is>
      </c>
      <c r="C55" s="9" t="inlineStr">
        <is>
          <t>Application-based Set Theory Problems</t>
        </is>
      </c>
      <c r="D55" s="9" t="inlineStr">
        <is>
          <t>Find the number of elements in the set {1, 2, 3, ..., 10} that are not divisible by 4 or 5.</t>
        </is>
      </c>
      <c r="E55" s="9" t="inlineStr">
        <is>
          <t>6</t>
        </is>
      </c>
      <c r="F55" s="9" t="inlineStr">
        <is>
          <t>7</t>
        </is>
      </c>
      <c r="G55" s="9" t="inlineStr">
        <is>
          <t>8</t>
        </is>
      </c>
      <c r="H55" s="9" t="inlineStr">
        <is>
          <t>9</t>
        </is>
      </c>
      <c r="I55" s="10" t="inlineStr">
        <is>
          <t>D</t>
        </is>
      </c>
      <c r="J55" s="11" t="inlineStr">
        <is>
          <t>Count numbers not divisible by 4 or 5.</t>
        </is>
      </c>
    </row>
    <row r="56" ht="42" customHeight="1">
      <c r="A56" s="7" t="n">
        <v>54</v>
      </c>
      <c r="B56" s="7" t="inlineStr">
        <is>
          <t>Easy</t>
        </is>
      </c>
      <c r="C56" s="9" t="inlineStr">
        <is>
          <t>Application-based Set Theory Problems</t>
        </is>
      </c>
      <c r="D56" s="9" t="inlineStr">
        <is>
          <t>If A and B are sets such that P(A) = 0.6 and P(B) = 0.8, find P(A ∩ B).</t>
        </is>
      </c>
      <c r="E56" s="9" t="inlineStr">
        <is>
          <t>0.48</t>
        </is>
      </c>
      <c r="F56" s="9" t="inlineStr">
        <is>
          <t>0.24</t>
        </is>
      </c>
      <c r="G56" s="9" t="inlineStr">
        <is>
          <t>0.36</t>
        </is>
      </c>
      <c r="H56" s="9" t="inlineStr">
        <is>
          <t>0.4</t>
        </is>
      </c>
      <c r="I56" s="10" t="inlineStr">
        <is>
          <t>A</t>
        </is>
      </c>
      <c r="J56" s="11" t="inlineStr">
        <is>
          <t>P(A ∩ B) = P(A) × P(B).</t>
        </is>
      </c>
    </row>
    <row r="57" ht="42" customHeight="1">
      <c r="A57" s="7" t="n">
        <v>55</v>
      </c>
      <c r="B57" s="7" t="inlineStr">
        <is>
          <t>Easy</t>
        </is>
      </c>
      <c r="C57" s="9" t="inlineStr">
        <is>
          <t>Complement of Sets</t>
        </is>
      </c>
      <c r="D57" s="9" t="inlineStr">
        <is>
          <t>If A ∩ B = {x}, then what is the complement of A ∪ B?</t>
        </is>
      </c>
      <c r="E57" s="9" t="inlineStr">
        <is>
          <t>{y}</t>
        </is>
      </c>
      <c r="F57" s="9" t="inlineStr">
        <is>
          <t>{z}</t>
        </is>
      </c>
      <c r="G57" s="9" t="inlineStr">
        <is>
          <t>{w}</t>
        </is>
      </c>
      <c r="H57" s="9" t="inlineStr">
        <is>
          <t>{x}</t>
        </is>
      </c>
      <c r="I57" s="10" t="inlineStr">
        <is>
          <t>A</t>
        </is>
      </c>
      <c r="J57" s="11" t="inlineStr">
        <is>
          <t>Since A ∩ B has only one element, A ∪ B contains all elements except x, and its complement is just {x}.</t>
        </is>
      </c>
    </row>
    <row r="58" ht="42" customHeight="1">
      <c r="A58" s="7" t="n">
        <v>56</v>
      </c>
      <c r="B58" s="7" t="inlineStr">
        <is>
          <t>Easy</t>
        </is>
      </c>
      <c r="C58" s="9" t="inlineStr">
        <is>
          <t>Complement of Sets</t>
        </is>
      </c>
      <c r="D58" s="9" t="inlineStr">
        <is>
          <t>Let A = {1, 2, 3} and U = {1, 2, 3, 4, 5}. What is the complement of A?</t>
        </is>
      </c>
      <c r="E58" s="9" t="inlineStr">
        <is>
          <t>{4, 5}</t>
        </is>
      </c>
      <c r="F58" s="9" t="inlineStr">
        <is>
          <t>{1, 4}</t>
        </is>
      </c>
      <c r="G58" s="9" t="inlineStr">
        <is>
          <t>{2, 5}</t>
        </is>
      </c>
      <c r="H58" s="9" t="inlineStr">
        <is>
          <t>{3, 4}</t>
        </is>
      </c>
      <c r="I58" s="10" t="inlineStr">
        <is>
          <t>B</t>
        </is>
      </c>
      <c r="J58" s="11" t="inlineStr">
        <is>
          <t>The complement of A is the set of all elements in U that are not in A.</t>
        </is>
      </c>
    </row>
    <row r="59" ht="42" customHeight="1">
      <c r="A59" s="7" t="n">
        <v>57</v>
      </c>
      <c r="B59" s="7" t="inlineStr">
        <is>
          <t>Easy</t>
        </is>
      </c>
      <c r="C59" s="9" t="inlineStr">
        <is>
          <t>Complement of Sets</t>
        </is>
      </c>
      <c r="D59" s="9" t="inlineStr">
        <is>
          <t>If A and B are sets such that A ∩ B = ∅, then what is the complement of A ∪ B?</t>
        </is>
      </c>
      <c r="E59" s="9" t="inlineStr">
        <is>
          <t>A</t>
        </is>
      </c>
      <c r="F59" s="9" t="inlineStr">
        <is>
          <t>B</t>
        </is>
      </c>
      <c r="G59" s="9" t="inlineStr">
        <is>
          <t>U-A-U</t>
        </is>
      </c>
      <c r="H59" s="9" t="inlineStr">
        <is>
          <t>∅</t>
        </is>
      </c>
      <c r="I59" s="10" t="inlineStr">
        <is>
          <t>D</t>
        </is>
      </c>
      <c r="J59" s="11" t="inlineStr">
        <is>
          <t>Since A and B have no common elements, their union contains all elements except those in both sets, and its complement is just ∅.</t>
        </is>
      </c>
    </row>
    <row r="60" ht="42" customHeight="1">
      <c r="A60" s="7" t="n">
        <v>58</v>
      </c>
      <c r="B60" s="7" t="inlineStr">
        <is>
          <t>Easy</t>
        </is>
      </c>
      <c r="C60" s="9" t="inlineStr">
        <is>
          <t>Word Problems using Sets</t>
        </is>
      </c>
      <c r="D60" s="9" t="inlineStr">
        <is>
          <t>A bakery offers two types of cookies, chocolate and vanilla. If 1/3 of the cookies sold are chocolate and 2/5 of the cookies sold are vanilla, what fraction of the total cookies sold are neither chocolate nor vanilla?</t>
        </is>
      </c>
      <c r="E60" s="9" t="inlineStr">
        <is>
          <t>0</t>
        </is>
      </c>
      <c r="F60" s="9" t="inlineStr">
        <is>
          <t>1/15</t>
        </is>
      </c>
      <c r="G60" s="9" t="inlineStr">
        <is>
          <t>1/6</t>
        </is>
      </c>
      <c r="H60" s="9" t="inlineStr">
        <is>
          <t>2/3</t>
        </is>
      </c>
      <c r="I60" s="10" t="inlineStr">
        <is>
          <t>D</t>
        </is>
      </c>
      <c r="J60" s="11" t="inlineStr">
        <is>
          <t>Find the complement set of chocolate and vanilla cookies.</t>
        </is>
      </c>
    </row>
    <row r="61" ht="42" customHeight="1">
      <c r="A61" s="7" t="n">
        <v>59</v>
      </c>
      <c r="B61" s="7" t="inlineStr">
        <is>
          <t>Easy</t>
        </is>
      </c>
      <c r="C61" s="9" t="inlineStr">
        <is>
          <t>Word Problems using Sets</t>
        </is>
      </c>
      <c r="D61" s="9" t="inlineStr">
        <is>
          <t>A student has a collection of 12 books. If 4 of them are novels, 5 are biographies, and the rest are textbooks, how many textbooks does the student have?</t>
        </is>
      </c>
      <c r="E61" s="9" t="inlineStr">
        <is>
          <t>0</t>
        </is>
      </c>
      <c r="F61" s="9" t="inlineStr">
        <is>
          <t>2</t>
        </is>
      </c>
      <c r="G61" s="9" t="inlineStr">
        <is>
          <t>3</t>
        </is>
      </c>
      <c r="H61" s="9" t="inlineStr">
        <is>
          <t>7</t>
        </is>
      </c>
      <c r="I61" s="10" t="inlineStr">
        <is>
          <t>C</t>
        </is>
      </c>
      <c r="J61" s="11" t="inlineStr">
        <is>
          <t>Find the difference between sets of novel and biography books.</t>
        </is>
      </c>
    </row>
    <row r="62" ht="42" customHeight="1">
      <c r="A62" s="7" t="n">
        <v>60</v>
      </c>
      <c r="B62" s="7" t="inlineStr">
        <is>
          <t>Easy</t>
        </is>
      </c>
      <c r="C62" s="9" t="inlineStr">
        <is>
          <t>Word Problems using Sets</t>
        </is>
      </c>
      <c r="D62" s="9" t="inlineStr">
        <is>
          <t>A company has two departments: A and B. If 1/4 of the employees work in department A and 3/8 of the employees work in department B, what fraction of the total employees work in neither department A nor department B?</t>
        </is>
      </c>
      <c r="E62" s="9" t="inlineStr">
        <is>
          <t>0</t>
        </is>
      </c>
      <c r="F62" s="9" t="inlineStr">
        <is>
          <t>1/2</t>
        </is>
      </c>
      <c r="G62" s="9" t="inlineStr">
        <is>
          <t>3/8</t>
        </is>
      </c>
      <c r="H62" s="9" t="inlineStr">
        <is>
          <t>7/12</t>
        </is>
      </c>
      <c r="I62" s="10" t="inlineStr">
        <is>
          <t>A</t>
        </is>
      </c>
      <c r="J62" s="11" t="inlineStr">
        <is>
          <t>Find the complement set of departments A and B.</t>
        </is>
      </c>
    </row>
    <row r="63" ht="42" customHeight="1">
      <c r="A63" s="7" t="n">
        <v>61</v>
      </c>
      <c r="B63" s="7" t="inlineStr">
        <is>
          <t>Easy</t>
        </is>
      </c>
      <c r="C63" s="9" t="inlineStr">
        <is>
          <t>Word Problems using Sets</t>
        </is>
      </c>
      <c r="D63" s="9" t="inlineStr">
        <is>
          <t>A library has two sections: fiction and non-fiction. If 2/5 of the books are fiction and 3/10 of the books are non-fiction, what fraction of the total books are neither fiction nor non-fiction?</t>
        </is>
      </c>
      <c r="E63" s="9" t="inlineStr">
        <is>
          <t>0</t>
        </is>
      </c>
      <c r="F63" s="9" t="inlineStr">
        <is>
          <t>1/5</t>
        </is>
      </c>
      <c r="G63" s="9" t="inlineStr">
        <is>
          <t>1/4</t>
        </is>
      </c>
      <c r="H63" s="9" t="inlineStr">
        <is>
          <t>7/20</t>
        </is>
      </c>
      <c r="I63" s="10" t="inlineStr">
        <is>
          <t>B</t>
        </is>
      </c>
      <c r="J63" s="11" t="inlineStr">
        <is>
          <t>Find the complement set of fiction and non-fiction books.</t>
        </is>
      </c>
    </row>
    <row r="64" ht="42" customHeight="1">
      <c r="A64" s="7" t="n">
        <v>62</v>
      </c>
      <c r="B64" s="7" t="inlineStr">
        <is>
          <t>Easy</t>
        </is>
      </c>
      <c r="C64" s="9" t="inlineStr">
        <is>
          <t>Venn Diagram Problems (3 sets)</t>
        </is>
      </c>
      <c r="D64" s="9" t="inlineStr">
        <is>
          <t>Let U be the universal set, A and B be two sets. If</t>
        </is>
      </c>
      <c r="E64" s="9" t="inlineStr">
        <is>
          <t>A ∩ B</t>
        </is>
      </c>
      <c r="F64" s="9">
        <f> 5,</f>
        <v/>
      </c>
      <c r="G64" s="9" t="inlineStr">
        <is>
          <t>A</t>
        </is>
      </c>
      <c r="H64" s="9">
        <f> 10, and</f>
        <v/>
      </c>
      <c r="I64" s="10" t="inlineStr">
        <is>
          <t>B</t>
        </is>
      </c>
      <c r="J64" s="11">
        <f> 8, find</f>
        <v/>
      </c>
    </row>
    <row r="65" ht="42" customHeight="1">
      <c r="A65" s="7" t="n">
        <v>63</v>
      </c>
      <c r="B65" s="7" t="inlineStr">
        <is>
          <t>Easy</t>
        </is>
      </c>
      <c r="C65" s="9" t="inlineStr">
        <is>
          <t>Venn Diagram Problems (3 sets)</t>
        </is>
      </c>
      <c r="D65" s="9" t="inlineStr">
        <is>
          <t>If A and B are two sets such that</t>
        </is>
      </c>
      <c r="E65" s="9" t="inlineStr">
        <is>
          <t>A ∪ B</t>
        </is>
      </c>
      <c r="F65" s="9">
        <f> 12,</f>
        <v/>
      </c>
      <c r="G65" s="9" t="inlineStr">
        <is>
          <t>A</t>
        </is>
      </c>
      <c r="H65" s="9">
        <f> 7, and</f>
        <v/>
      </c>
      <c r="I65" s="10" t="inlineStr">
        <is>
          <t>B</t>
        </is>
      </c>
      <c r="J65" s="11">
        <f> 9, find</f>
        <v/>
      </c>
    </row>
    <row r="66" ht="42" customHeight="1">
      <c r="A66" s="7" t="n">
        <v>64</v>
      </c>
      <c r="B66" s="7" t="inlineStr">
        <is>
          <t>Easy</t>
        </is>
      </c>
      <c r="C66" s="9" t="inlineStr">
        <is>
          <t>Venn Diagram Problems (3 sets)</t>
        </is>
      </c>
      <c r="D66" s="9" t="inlineStr">
        <is>
          <t>Let A, B, and C be three sets. If</t>
        </is>
      </c>
      <c r="E66" s="9" t="inlineStr">
        <is>
          <t>A ∪ B ∪ C</t>
        </is>
      </c>
      <c r="F66" s="9">
        <f> 15,</f>
        <v/>
      </c>
      <c r="G66" s="9" t="inlineStr">
        <is>
          <t>A ∩ B</t>
        </is>
      </c>
      <c r="H66" s="9">
        <f> 2, and</f>
        <v/>
      </c>
      <c r="I66" s="10" t="inlineStr">
        <is>
          <t>B</t>
        </is>
      </c>
      <c r="J66" s="11">
        <f> 5, find</f>
        <v/>
      </c>
    </row>
    <row r="67" ht="42" customHeight="1">
      <c r="A67" s="7" t="n">
        <v>65</v>
      </c>
      <c r="B67" s="7" t="inlineStr">
        <is>
          <t>Easy</t>
        </is>
      </c>
      <c r="C67" s="9" t="inlineStr">
        <is>
          <t>Set Identities and Properties</t>
        </is>
      </c>
      <c r="D67" s="9" t="inlineStr">
        <is>
          <t>Let U be the universal set. If A ∩ B = {x} and A ∪ B = U, then what is A?</t>
        </is>
      </c>
      <c r="E67" s="9" t="inlineStr">
        <is>
          <t>A = {x}</t>
        </is>
      </c>
      <c r="F67" s="9" t="inlineStr">
        <is>
          <t>B = {x}</t>
        </is>
      </c>
      <c r="G67" s="9" t="inlineStr">
        <is>
          <t>U - {x} = A</t>
        </is>
      </c>
      <c r="H67" s="9" t="inlineStr">
        <is>
          <t>{x} = A</t>
        </is>
      </c>
      <c r="I67" s="10" t="inlineStr">
        <is>
          <t>A</t>
        </is>
      </c>
      <c r="J67" s="11" t="inlineStr">
        <is>
          <t>A is the only possible solution.</t>
        </is>
      </c>
    </row>
    <row r="68" ht="42" customHeight="1">
      <c r="A68" s="7" t="n">
        <v>66</v>
      </c>
      <c r="B68" s="7" t="inlineStr">
        <is>
          <t>Easy</t>
        </is>
      </c>
      <c r="C68" s="9" t="inlineStr">
        <is>
          <t>Venn Diagram Problems (2 sets)</t>
        </is>
      </c>
      <c r="D68" s="9" t="inlineStr">
        <is>
          <t>Set A has 10 elements, set B has 5 elements. What is the maximum possible number of elements in their intersection?</t>
        </is>
      </c>
      <c r="E68" s="9" t="inlineStr">
        <is>
          <t>A) 0</t>
        </is>
      </c>
      <c r="F68" s="9" t="inlineStr">
        <is>
          <t>B) 3</t>
        </is>
      </c>
      <c r="G68" s="9" t="inlineStr">
        <is>
          <t>C) 5</t>
        </is>
      </c>
      <c r="H68" s="9" t="inlineStr">
        <is>
          <t>D) 10</t>
        </is>
      </c>
      <c r="I68" s="10" t="inlineStr">
        <is>
          <t>C</t>
        </is>
      </c>
      <c r="J68" s="11" t="inlineStr">
        <is>
          <t>The maximum possible number of elements in the intersection occurs when all elements of set B are also in set A.</t>
        </is>
      </c>
    </row>
    <row r="69" ht="42" customHeight="1">
      <c r="A69" s="7" t="n">
        <v>67</v>
      </c>
      <c r="B69" s="7" t="inlineStr">
        <is>
          <t>Easy</t>
        </is>
      </c>
      <c r="C69" s="9" t="inlineStr">
        <is>
          <t>Venn Diagram Problems (2 sets)</t>
        </is>
      </c>
      <c r="D69" s="9" t="inlineStr">
        <is>
          <t>Sets P and Q have 8 and 12 elements respectively. What is the minimum possible number of elements in their union?</t>
        </is>
      </c>
      <c r="E69" s="9" t="inlineStr">
        <is>
          <t>A) 10</t>
        </is>
      </c>
      <c r="F69" s="9" t="inlineStr">
        <is>
          <t>B) 14</t>
        </is>
      </c>
      <c r="G69" s="9" t="inlineStr">
        <is>
          <t>C) 16</t>
        </is>
      </c>
      <c r="H69" s="9" t="inlineStr">
        <is>
          <t>D) 20</t>
        </is>
      </c>
      <c r="I69" s="10" t="inlineStr">
        <is>
          <t>B</t>
        </is>
      </c>
      <c r="J69" s="11" t="inlineStr">
        <is>
          <t>The minimum possible number of elements in the union occurs when all elements of set P are distinct from those of set Q.</t>
        </is>
      </c>
    </row>
    <row r="70" ht="42" customHeight="1">
      <c r="A70" s="7" t="n">
        <v>68</v>
      </c>
      <c r="B70" s="7" t="inlineStr">
        <is>
          <t>Easy</t>
        </is>
      </c>
      <c r="C70" s="9" t="inlineStr">
        <is>
          <t>Venn Diagram Problems (2 sets)</t>
        </is>
      </c>
      <c r="D70" s="9" t="inlineStr">
        <is>
          <t>Sets R and S have 4 and 6 elements respectively. What is the maximum possible number of elements in their difference?</t>
        </is>
      </c>
      <c r="E70" s="9" t="inlineStr">
        <is>
          <t>A) 0</t>
        </is>
      </c>
      <c r="F70" s="9" t="inlineStr">
        <is>
          <t>B) 1</t>
        </is>
      </c>
      <c r="G70" s="9" t="inlineStr">
        <is>
          <t>C) 2</t>
        </is>
      </c>
      <c r="H70" s="9" t="inlineStr">
        <is>
          <t>D) 3</t>
        </is>
      </c>
      <c r="I70" s="10" t="inlineStr">
        <is>
          <t>C</t>
        </is>
      </c>
      <c r="J70" s="11" t="inlineStr">
        <is>
          <t>The maximum possible number of elements in the difference occurs when all elements of set S are not in set R.</t>
        </is>
      </c>
    </row>
    <row r="71" ht="42" customHeight="1">
      <c r="A71" s="7" t="n">
        <v>69</v>
      </c>
      <c r="B71" s="7" t="inlineStr">
        <is>
          <t>Easy</t>
        </is>
      </c>
      <c r="C71" s="9" t="inlineStr">
        <is>
          <t>Venn Diagram Problems (2 sets)</t>
        </is>
      </c>
      <c r="D71" s="9" t="inlineStr">
        <is>
          <t>Sets T and U have 6 and 8 elements respectively. What is the minimum possible number of elements in their complement?</t>
        </is>
      </c>
      <c r="E71" s="9" t="inlineStr">
        <is>
          <t>A) 0</t>
        </is>
      </c>
      <c r="F71" s="9" t="inlineStr">
        <is>
          <t>B) 4</t>
        </is>
      </c>
      <c r="G71" s="9" t="inlineStr">
        <is>
          <t>C) 10</t>
        </is>
      </c>
      <c r="H71" s="9" t="inlineStr">
        <is>
          <t>D) 14</t>
        </is>
      </c>
      <c r="I71" s="10" t="inlineStr">
        <is>
          <t>C</t>
        </is>
      </c>
      <c r="J71" s="11" t="inlineStr">
        <is>
          <t>The minimum possible number of elements in the complement occurs when all elements are in either set T or set U.</t>
        </is>
      </c>
    </row>
    <row r="72" ht="42" customHeight="1">
      <c r="A72" s="7" t="n">
        <v>70</v>
      </c>
      <c r="B72" s="7" t="inlineStr">
        <is>
          <t>Easy</t>
        </is>
      </c>
      <c r="C72" s="9" t="inlineStr">
        <is>
          <t>De Morgan’s Laws</t>
        </is>
      </c>
      <c r="D72" s="9" t="inlineStr">
        <is>
          <t>Let U be the universal set. If A ∩ B = {x} and A ∪ B = U, then what is (A ∩ B)'?</t>
        </is>
      </c>
      <c r="E72" s="9" t="inlineStr">
        <is>
          <t>{x}'</t>
        </is>
      </c>
      <c r="F72" s="9" t="inlineStr">
        <is>
          <t>U'</t>
        </is>
      </c>
      <c r="G72" s="9" t="inlineStr">
        <is>
          <t>∅'</t>
        </is>
      </c>
      <c r="H72" s="9" t="inlineStr">
        <is>
          <t>{x}</t>
        </is>
      </c>
      <c r="I72" s="10" t="inlineStr">
        <is>
          <t>C</t>
        </is>
      </c>
      <c r="J72" s="11" t="inlineStr">
        <is>
          <t>(A ∩ B)' = U' since there's only one element in A ∩ B.</t>
        </is>
      </c>
    </row>
    <row r="73" ht="42" customHeight="1">
      <c r="A73" s="7" t="n">
        <v>71</v>
      </c>
      <c r="B73" s="7" t="inlineStr">
        <is>
          <t>Easy</t>
        </is>
      </c>
      <c r="C73" s="9" t="inlineStr">
        <is>
          <t>De Morgan’s Laws</t>
        </is>
      </c>
      <c r="D73" s="9" t="inlineStr">
        <is>
          <t>If A and B are sets such that A ∪ B = {1, 2, 3} and A ∩ B = ∅, then what is (A ∪ B)'?</t>
        </is>
      </c>
      <c r="E73" s="9" t="inlineStr">
        <is>
          <t>{4, 5, 6}</t>
        </is>
      </c>
      <c r="F73" s="9" t="inlineStr">
        <is>
          <t>{0, 1, 2, 3}</t>
        </is>
      </c>
      <c r="G73" s="9" t="inlineStr">
        <is>
          <t>{1, 2, 3}</t>
        </is>
      </c>
      <c r="H73" s="9" t="inlineStr">
        <is>
          <t>∅'</t>
        </is>
      </c>
      <c r="I73" s="10" t="inlineStr">
        <is>
          <t>D</t>
        </is>
      </c>
      <c r="J73" s="11" t="inlineStr">
        <is>
          <t>(A ∪ B)' = U' - (A ∪ B) = {4, 5, 6}.</t>
        </is>
      </c>
    </row>
    <row r="74" ht="42" customHeight="1">
      <c r="A74" s="7" t="n">
        <v>72</v>
      </c>
      <c r="B74" s="7" t="inlineStr">
        <is>
          <t>Easy</t>
        </is>
      </c>
      <c r="C74" s="9" t="inlineStr">
        <is>
          <t>De Morgan’s Laws</t>
        </is>
      </c>
      <c r="D74" s="9" t="inlineStr">
        <is>
          <t>Let A and B be sets. If A ∩ B = ∅ and A ∪ B = {1, 2, 3}, then what is (A ∩ B)'?</t>
        </is>
      </c>
      <c r="E74" s="9" t="inlineStr">
        <is>
          <t>{1, 2, 3}</t>
        </is>
      </c>
      <c r="F74" s="9" t="inlineStr">
        <is>
          <t>∅'</t>
        </is>
      </c>
      <c r="G74" s="9" t="inlineStr">
        <is>
          <t>U'</t>
        </is>
      </c>
      <c r="H74" s="9" t="inlineStr">
        <is>
          <t>{0, 1, 2, 3}</t>
        </is>
      </c>
      <c r="I74" s="10" t="inlineStr">
        <is>
          <t>C</t>
        </is>
      </c>
      <c r="J74" s="11" t="inlineStr">
        <is>
          <t>(A ∩ B)' = U' since there's no common element in A and B.</t>
        </is>
      </c>
    </row>
    <row r="75" ht="42" customHeight="1">
      <c r="A75" s="7" t="n">
        <v>73</v>
      </c>
      <c r="B75" s="7" t="inlineStr">
        <is>
          <t>Easy</t>
        </is>
      </c>
      <c r="C75" s="9" t="inlineStr">
        <is>
          <t>De Morgan’s Laws</t>
        </is>
      </c>
      <c r="D75" s="9" t="inlineStr">
        <is>
          <t>If A and B are sets such that A ∪ B = {a, b} and A ∩ B = {x}, then what is (A ∩ B)'?</t>
        </is>
      </c>
      <c r="E75" s="9" t="inlineStr">
        <is>
          <t>{y}</t>
        </is>
      </c>
      <c r="F75" s="9" t="inlineStr">
        <is>
          <t>∅'</t>
        </is>
      </c>
      <c r="G75" s="9" t="inlineStr">
        <is>
          <t>{a, b}'</t>
        </is>
      </c>
      <c r="H75" s="9" t="inlineStr">
        <is>
          <t>{x}'</t>
        </is>
      </c>
      <c r="I75" s="10" t="inlineStr">
        <is>
          <t>B</t>
        </is>
      </c>
      <c r="J75" s="11" t="inlineStr">
        <is>
          <t>(A ∩ B)' = U' - (A ∩ B) = {y}.</t>
        </is>
      </c>
    </row>
    <row r="76" ht="42" customHeight="1">
      <c r="A76" s="7" t="n">
        <v>74</v>
      </c>
      <c r="B76" s="7" t="inlineStr">
        <is>
          <t>Easy</t>
        </is>
      </c>
      <c r="C76" s="9" t="inlineStr">
        <is>
          <t>Basic Set Concepts (elements, subsets, types of sets)</t>
        </is>
      </c>
      <c r="D76" s="9" t="inlineStr">
        <is>
          <t>What is the complement of set A if P(A) = 3/5 and P(U) = 2/3?</t>
        </is>
      </c>
      <c r="E76" s="9" t="inlineStr">
        <is>
          <t>A' = {x</t>
        </is>
      </c>
      <c r="F76" s="9" t="inlineStr">
        <is>
          <t>x∈U,x∉A}</t>
        </is>
      </c>
      <c r="G76" s="9" t="inlineStr">
        <is>
          <t>B'</t>
        </is>
      </c>
      <c r="H76" s="9" t="inlineStr">
        <is>
          <t>{x</t>
        </is>
      </c>
      <c r="I76" s="10" t="inlineStr">
        <is>
          <t>A</t>
        </is>
      </c>
      <c r="J76" s="11" t="inlineStr">
        <is>
          <t>C'</t>
        </is>
      </c>
    </row>
    <row r="77" ht="42" customHeight="1">
      <c r="A77" s="7" t="n">
        <v>75</v>
      </c>
      <c r="B77" s="7" t="inlineStr">
        <is>
          <t>Easy</t>
        </is>
      </c>
      <c r="C77" s="9" t="inlineStr">
        <is>
          <t>Basic Set Concepts (elements, subsets, types of sets)</t>
        </is>
      </c>
      <c r="D77" s="9" t="inlineStr">
        <is>
          <t>Let A and B be two sets. Which of the following is a subset of both A and B?</t>
        </is>
      </c>
      <c r="E77" s="9" t="inlineStr">
        <is>
          <t>A ∩ B</t>
        </is>
      </c>
      <c r="F77" s="9" t="inlineStr">
        <is>
          <t>A ∪ B</t>
        </is>
      </c>
      <c r="G77" s="9" t="inlineStr">
        <is>
          <t>A - B</t>
        </is>
      </c>
      <c r="H77" s="9" t="inlineStr">
        <is>
          <t>B - A</t>
        </is>
      </c>
      <c r="I77" s="10" t="inlineStr">
        <is>
          <t>D</t>
        </is>
      </c>
      <c r="J77" s="11" t="inlineStr">
        <is>
          <t>A ∩ B contains all elements common to both A and B.</t>
        </is>
      </c>
    </row>
    <row r="78" ht="42" customHeight="1">
      <c r="A78" s="7" t="n">
        <v>76</v>
      </c>
      <c r="B78" s="7" t="inlineStr">
        <is>
          <t>Easy</t>
        </is>
      </c>
      <c r="C78" s="9" t="inlineStr">
        <is>
          <t>Basic Set Concepts (elements, subsets, types of sets)</t>
        </is>
      </c>
      <c r="D78" s="9" t="inlineStr">
        <is>
          <t>If U = {1, 2, 3, 4} and A = {1, 2}, what is the power set P(A)?</t>
        </is>
      </c>
      <c r="E78" s="9" t="inlineStr">
        <is>
          <t>P(A) = {{}, {1}, {2}, {1, 2}}</t>
        </is>
      </c>
      <c r="F78" s="9" t="inlineStr">
        <is>
          <t>P(A) = {{}, {1}, {2}, {1, 2}, {3}</t>
        </is>
      </c>
      <c r="G78" s="9" t="inlineStr">
        <is>
          <t>P(A) = {{}, {1}, {2}, {1, 2}, {4}</t>
        </is>
      </c>
      <c r="H78" s="9" t="inlineStr">
        <is>
          <t>P(A) = {{}, {1}, {2}, {1, 2}, {3, 4}</t>
        </is>
      </c>
      <c r="I78" s="10" t="inlineStr">
        <is>
          <t>B</t>
        </is>
      </c>
      <c r="J78" s="11" t="inlineStr">
        <is>
          <t>The power set of A contains all possible subsets of A.</t>
        </is>
      </c>
    </row>
    <row r="79" ht="42" customHeight="1">
      <c r="A79" s="7" t="n">
        <v>77</v>
      </c>
      <c r="B79" s="7" t="inlineStr">
        <is>
          <t>Easy</t>
        </is>
      </c>
      <c r="C79" s="9" t="inlineStr">
        <is>
          <t>Basic Set Concepts (elements, subsets, types of sets)</t>
        </is>
      </c>
      <c r="D79" s="9" t="inlineStr">
        <is>
          <t>What is the union of two disjoint sets A and B?</t>
        </is>
      </c>
      <c r="E79" s="9" t="inlineStr">
        <is>
          <t>A ∪ B = A ∩ B</t>
        </is>
      </c>
      <c r="F79" s="9" t="inlineStr">
        <is>
          <t>A ∪ B = A - B</t>
        </is>
      </c>
      <c r="G79" s="9" t="inlineStr">
        <is>
          <t>A ∪ B = B - A</t>
        </is>
      </c>
      <c r="H79" s="9" t="inlineStr">
        <is>
          <t>A ∪ B = φ</t>
        </is>
      </c>
      <c r="I79" s="10" t="inlineStr">
        <is>
          <t>D</t>
        </is>
      </c>
      <c r="J79" s="11" t="inlineStr">
        <is>
          <t>The union of two disjoint sets is the set containing all elements from either set.</t>
        </is>
      </c>
    </row>
    <row r="80" ht="42" customHeight="1">
      <c r="A80" s="7" t="n">
        <v>78</v>
      </c>
      <c r="B80" s="7" t="inlineStr">
        <is>
          <t>Easy</t>
        </is>
      </c>
      <c r="C80" s="9" t="inlineStr">
        <is>
          <t>Operations on Sets (union, intersection, difference)</t>
        </is>
      </c>
      <c r="D80" s="9" t="inlineStr">
        <is>
          <t>Let A = {1, 2, 3} and B = {2, 3, 4}. Find A ∩ B</t>
        </is>
      </c>
      <c r="E80" s="9" t="inlineStr">
        <is>
          <t>{2, 3}</t>
        </is>
      </c>
      <c r="F80" s="9" t="inlineStr">
        <is>
          <t>A ∪ B</t>
        </is>
      </c>
      <c r="G80" s="9" t="inlineStr">
        <is>
          <t>{1, 2, 3, 4}</t>
        </is>
      </c>
      <c r="H80" s="9" t="inlineStr">
        <is>
          <t>{1, 4}</t>
        </is>
      </c>
      <c r="I80" s="10" t="inlineStr">
        <is>
          <t>B</t>
        </is>
      </c>
      <c r="J80" s="11" t="inlineStr">
        <is>
          <t>The intersection of two sets is the set of elements common to both.</t>
        </is>
      </c>
    </row>
    <row r="81" ht="42" customHeight="1">
      <c r="A81" s="7" t="n">
        <v>79</v>
      </c>
      <c r="B81" s="7" t="inlineStr">
        <is>
          <t>Easy</t>
        </is>
      </c>
      <c r="C81" s="9" t="inlineStr">
        <is>
          <t>Operations on Sets (union, intersection, difference)</t>
        </is>
      </c>
      <c r="D81" s="9" t="inlineStr">
        <is>
          <t>Let A = {a, b} and B = {b, c}. Find A ∩ B</t>
        </is>
      </c>
      <c r="E81" s="9" t="inlineStr">
        <is>
          <t>{b}</t>
        </is>
      </c>
      <c r="F81" s="9" t="inlineStr">
        <is>
          <t>A ∪ B</t>
        </is>
      </c>
      <c r="G81" s="9" t="inlineStr">
        <is>
          <t>{a, b, c}</t>
        </is>
      </c>
      <c r="H81" s="9" t="inlineStr">
        <is>
          <t>{a, c}</t>
        </is>
      </c>
      <c r="I81" s="10" t="inlineStr">
        <is>
          <t>B</t>
        </is>
      </c>
      <c r="J81" s="11" t="inlineStr">
        <is>
          <t>The intersection of two sets is the set of elements common to both.</t>
        </is>
      </c>
    </row>
    <row r="82" ht="42" customHeight="1">
      <c r="A82" s="7" t="n">
        <v>80</v>
      </c>
      <c r="B82" s="7" t="inlineStr">
        <is>
          <t>Easy</t>
        </is>
      </c>
      <c r="C82" s="9" t="inlineStr">
        <is>
          <t>Cardinality of Sets</t>
        </is>
      </c>
      <c r="D82" s="9" t="inlineStr">
        <is>
          <t>Two sets A and B have cardinalities</t>
        </is>
      </c>
      <c r="E82" s="9" t="inlineStr">
        <is>
          <t>n(A)</t>
        </is>
      </c>
      <c r="F82" s="9">
        <f> 5 and</f>
        <v/>
      </c>
      <c r="G82" s="9" t="inlineStr">
        <is>
          <t>n(B)</t>
        </is>
      </c>
      <c r="H82" s="9">
        <f> 3. What is the maximum possible value of</f>
        <v/>
      </c>
      <c r="I82" s="10" t="inlineStr">
        <is>
          <t>A</t>
        </is>
      </c>
      <c r="J82" s="11" t="inlineStr">
        <is>
          <t>?</t>
        </is>
      </c>
    </row>
    <row r="83" ht="42" customHeight="1">
      <c r="A83" s="7" t="n">
        <v>81</v>
      </c>
      <c r="B83" s="7" t="inlineStr">
        <is>
          <t>Easy</t>
        </is>
      </c>
      <c r="C83" s="9" t="inlineStr">
        <is>
          <t>Cardinality of Sets</t>
        </is>
      </c>
      <c r="D83" s="9" t="inlineStr">
        <is>
          <t>Let A and B be finite sets. If</t>
        </is>
      </c>
      <c r="E83" s="9" t="inlineStr">
        <is>
          <t>n(A)</t>
        </is>
      </c>
      <c r="F83" s="9">
        <f> 6 and</f>
        <v/>
      </c>
      <c r="G83" s="9" t="inlineStr">
        <is>
          <t>n(B)</t>
        </is>
      </c>
      <c r="H83" s="9">
        <f> 8, what is the maximum possible value of</f>
        <v/>
      </c>
      <c r="I83" s="10" t="inlineStr">
        <is>
          <t>A</t>
        </is>
      </c>
      <c r="J83" s="11" t="inlineStr">
        <is>
          <t>?</t>
        </is>
      </c>
    </row>
    <row r="84" ht="42" customHeight="1">
      <c r="A84" s="7" t="n">
        <v>82</v>
      </c>
      <c r="B84" s="7" t="inlineStr">
        <is>
          <t>Easy</t>
        </is>
      </c>
      <c r="C84" s="9" t="inlineStr">
        <is>
          <t>Application-based Set Theory Problems</t>
        </is>
      </c>
      <c r="D84" s="9" t="inlineStr">
        <is>
          <t>If A and B are sets such that</t>
        </is>
      </c>
      <c r="E84" s="9" t="inlineStr">
        <is>
          <t>A</t>
        </is>
      </c>
      <c r="F84" s="9">
        <f> 5,</f>
        <v/>
      </c>
      <c r="G84" s="9" t="inlineStr">
        <is>
          <t>B</t>
        </is>
      </c>
      <c r="H84" s="9">
        <f> 3, and</f>
        <v/>
      </c>
      <c r="I84" s="10" t="inlineStr">
        <is>
          <t>A</t>
        </is>
      </c>
      <c r="J84" s="11">
        <f> 2, find</f>
        <v/>
      </c>
    </row>
    <row r="85" ht="42" customHeight="1">
      <c r="A85" s="7" t="n">
        <v>83</v>
      </c>
      <c r="B85" s="7" t="inlineStr">
        <is>
          <t>Easy</t>
        </is>
      </c>
      <c r="C85" s="9" t="inlineStr">
        <is>
          <t>Complement of Sets</t>
        </is>
      </c>
      <c r="D85" s="9" t="inlineStr">
        <is>
          <t>Let U be the universal set and A be a subset of U. What is the complement of A with respect to U?</t>
        </is>
      </c>
      <c r="E85" s="9" t="inlineStr">
        <is>
          <t>U - A</t>
        </is>
      </c>
      <c r="F85" s="9" t="inlineStr">
        <is>
          <t>A - U</t>
        </is>
      </c>
      <c r="G85" s="9" t="inlineStr">
        <is>
          <t>A ∩ U</t>
        </is>
      </c>
      <c r="H85" s="9" t="inlineStr">
        <is>
          <t>A ∪ U</t>
        </is>
      </c>
      <c r="I85" s="10" t="inlineStr">
        <is>
          <t>B</t>
        </is>
      </c>
      <c r="J85" s="11" t="inlineStr">
        <is>
          <t>The complement of A is the set of all elements in U that are not in A.</t>
        </is>
      </c>
    </row>
    <row r="86" ht="42" customHeight="1">
      <c r="A86" s="7" t="n">
        <v>84</v>
      </c>
      <c r="B86" s="7" t="inlineStr">
        <is>
          <t>Easy</t>
        </is>
      </c>
      <c r="C86" s="9" t="inlineStr">
        <is>
          <t>Complement of Sets</t>
        </is>
      </c>
      <c r="D86" s="9" t="inlineStr">
        <is>
          <t>If A and B are sets such that A ⊆ B, what is the complement of A with respect to B?</t>
        </is>
      </c>
      <c r="E86" s="9" t="inlineStr">
        <is>
          <t>B - A</t>
        </is>
      </c>
      <c r="F86" s="9" t="inlineStr">
        <is>
          <t>A - B</t>
        </is>
      </c>
      <c r="G86" s="9" t="inlineStr">
        <is>
          <t>∅</t>
        </is>
      </c>
      <c r="H86" s="9" t="inlineStr">
        <is>
          <t>B</t>
        </is>
      </c>
      <c r="I86" s="10" t="inlineStr">
        <is>
          <t>C</t>
        </is>
      </c>
      <c r="J86" s="11" t="inlineStr">
        <is>
          <t>The complement of A with respect to B is B - A, which contains all elements in B but not in A.</t>
        </is>
      </c>
    </row>
    <row r="87" ht="42" customHeight="1">
      <c r="A87" s="7" t="n">
        <v>85</v>
      </c>
      <c r="B87" s="7" t="inlineStr">
        <is>
          <t>Easy</t>
        </is>
      </c>
      <c r="C87" s="9" t="inlineStr">
        <is>
          <t>Complement of Sets</t>
        </is>
      </c>
      <c r="D87" s="9" t="inlineStr">
        <is>
          <t>Let A and B be sets such that A ∩ B = ∅. What is the complement of A with respect to A ∪ B?</t>
        </is>
      </c>
      <c r="E87" s="9" t="inlineStr">
        <is>
          <t>A ∪ B - A</t>
        </is>
      </c>
      <c r="F87" s="9" t="inlineStr">
        <is>
          <t>B - A</t>
        </is>
      </c>
      <c r="G87" s="9" t="inlineStr">
        <is>
          <t>A - B</t>
        </is>
      </c>
      <c r="H87" s="9" t="inlineStr">
        <is>
          <t>∅</t>
        </is>
      </c>
      <c r="I87" s="10" t="inlineStr">
        <is>
          <t>D</t>
        </is>
      </c>
      <c r="J87" s="11" t="inlineStr">
        <is>
          <t>The complement of A with respect to A ∪ B is A ∪ B - A, which contains all elements in A ∪ B but not in A.</t>
        </is>
      </c>
    </row>
    <row r="88" ht="42" customHeight="1">
      <c r="A88" s="7" t="n">
        <v>86</v>
      </c>
      <c r="B88" s="7" t="inlineStr">
        <is>
          <t>Easy</t>
        </is>
      </c>
      <c r="C88" s="9" t="inlineStr">
        <is>
          <t>Complement of Sets</t>
        </is>
      </c>
      <c r="D88" s="9" t="inlineStr">
        <is>
          <t>If A and B are sets such that A ⊆ B and C = B - A, what is the complement of A with respect to C?</t>
        </is>
      </c>
      <c r="E88" s="9" t="inlineStr">
        <is>
          <t>C - A</t>
        </is>
      </c>
      <c r="F88" s="9" t="inlineStr">
        <is>
          <t>A - C</t>
        </is>
      </c>
      <c r="G88" s="9" t="inlineStr">
        <is>
          <t>∅</t>
        </is>
      </c>
      <c r="H88" s="9" t="inlineStr">
        <is>
          <t>B</t>
        </is>
      </c>
      <c r="I88" s="10" t="inlineStr">
        <is>
          <t>B</t>
        </is>
      </c>
      <c r="J88" s="11" t="inlineStr">
        <is>
          <t>The complement of A with respect to C is C - A, which contains all elements in C but not in A.</t>
        </is>
      </c>
    </row>
    <row r="89" ht="42" customHeight="1">
      <c r="A89" s="7" t="n">
        <v>87</v>
      </c>
      <c r="B89" s="7" t="inlineStr">
        <is>
          <t>Easy</t>
        </is>
      </c>
      <c r="C89" s="9" t="inlineStr">
        <is>
          <t>Word Problems using Sets</t>
        </is>
      </c>
      <c r="D89" s="9" t="inlineStr">
        <is>
          <t>A bakery sells 250 loaves of bread on Monday and 300 loaves on Tuesday. What is the set of all possible numbers of loaves sold on Wednesday?</t>
        </is>
      </c>
      <c r="E89" s="9" t="inlineStr">
        <is>
          <t>{200,201,...,399}</t>
        </is>
      </c>
      <c r="F89" s="9" t="inlineStr">
        <is>
          <t>{199,200,...,400}</t>
        </is>
      </c>
      <c r="G89" s="9" t="inlineStr">
        <is>
          <t>{198,199,...,401}</t>
        </is>
      </c>
      <c r="H89" s="9" t="inlineStr">
        <is>
          <t>{197,198,...,402}</t>
        </is>
      </c>
      <c r="I89" s="10" t="inlineStr">
        <is>
          <t>A</t>
        </is>
      </c>
      <c r="J89" s="11" t="inlineStr">
        <is>
          <t>The set of all possible numbers of loaves sold on Wednesday is the set of integers from 199 to 400.</t>
        </is>
      </c>
    </row>
    <row r="90" ht="42" customHeight="1">
      <c r="A90" s="7" t="n">
        <v>88</v>
      </c>
      <c r="B90" s="7" t="inlineStr">
        <is>
          <t>Easy</t>
        </is>
      </c>
      <c r="C90" s="9" t="inlineStr">
        <is>
          <t>Word Problems using Sets</t>
        </is>
      </c>
      <c r="D90" s="9" t="inlineStr">
        <is>
          <t>A student has a set of favorite TV shows: {Game of Thrones, The Office, Stranger Things}. If she also likes {Friends, Narcos}, what is the union of her sets?</t>
        </is>
      </c>
      <c r="E90" s="9" t="inlineStr">
        <is>
          <t>{Game of Thrones, The Office, Stranger Things, Friends, Narcos}</t>
        </is>
      </c>
      <c r="F90" s="9" t="inlineStr">
        <is>
          <t>{The Office, Stranger Things, Friends, Narcos}</t>
        </is>
      </c>
      <c r="G90" s="9" t="inlineStr">
        <is>
          <t>{Game of Thrones, Friends, Narcos}</t>
        </is>
      </c>
      <c r="H90" s="9" t="inlineStr">
        <is>
          <t>{Game of Thrones, The Office, Stranger Things, Friends}</t>
        </is>
      </c>
      <c r="I90" s="10" t="inlineStr">
        <is>
          <t>A</t>
        </is>
      </c>
      <c r="J90" s="11" t="inlineStr">
        <is>
          <t>The union of her sets is the set {Game of Thrones, The Office, Stranger Things, Friends, Narcos}.</t>
        </is>
      </c>
    </row>
    <row r="91" ht="42" customHeight="1">
      <c r="A91" s="7" t="n">
        <v>89</v>
      </c>
      <c r="B91" s="7" t="inlineStr">
        <is>
          <t>Easy</t>
        </is>
      </c>
      <c r="C91" s="9" t="inlineStr">
        <is>
          <t>Word Problems using Sets</t>
        </is>
      </c>
      <c r="D91" s="9" t="inlineStr">
        <is>
          <t>A library has a collection of 500 books on mathematics and 300 books on physics. What is the set of all possible numbers of books that can be taken out from the library?</t>
        </is>
      </c>
      <c r="E91" s="9" t="inlineStr">
        <is>
          <t>{200,201,...,800}</t>
        </is>
      </c>
      <c r="F91" s="9" t="inlineStr">
        <is>
          <t>{199,200,...,799}</t>
        </is>
      </c>
      <c r="G91" s="9" t="inlineStr">
        <is>
          <t>{198,199,...,798}</t>
        </is>
      </c>
      <c r="H91" s="9" t="inlineStr">
        <is>
          <t>{197,198,...,797}</t>
        </is>
      </c>
      <c r="I91" s="10" t="inlineStr">
        <is>
          <t>A</t>
        </is>
      </c>
      <c r="J91" s="11" t="inlineStr">
        <is>
          <t>The set of all possible numbers of books that can be taken out from the library is the set of integers from 1 to 800.</t>
        </is>
      </c>
    </row>
    <row r="92" ht="42" customHeight="1">
      <c r="A92" s="7" t="n">
        <v>90</v>
      </c>
      <c r="B92" s="7" t="inlineStr">
        <is>
          <t>Easy</t>
        </is>
      </c>
      <c r="C92" s="9" t="inlineStr">
        <is>
          <t>Word Problems using Sets</t>
        </is>
      </c>
      <c r="D92" s="9" t="inlineStr">
        <is>
          <t>A group of friends like {pizza, sushi, tacos} and another group likes {sushi, burgers}. What is the intersection of their sets?</t>
        </is>
      </c>
      <c r="E92" s="9" t="inlineStr">
        <is>
          <t>{sushi}</t>
        </is>
      </c>
      <c r="F92" s="9" t="inlineStr">
        <is>
          <t>{pizzas, sushi, burgers}</t>
        </is>
      </c>
      <c r="G92" s="9" t="inlineStr">
        <is>
          <t>{tacos, sushi, burgers}</t>
        </is>
      </c>
      <c r="H92" s="9" t="inlineStr">
        <is>
          <t>{pizzas, tacos, burgers}</t>
        </is>
      </c>
      <c r="I92" s="10" t="inlineStr">
        <is>
          <t>B</t>
        </is>
      </c>
      <c r="J92" s="11" t="inlineStr">
        <is>
          <t>The intersection of their sets is the set {sushi}.</t>
        </is>
      </c>
    </row>
    <row r="93" ht="42" customHeight="1">
      <c r="A93" s="7" t="n">
        <v>91</v>
      </c>
      <c r="B93" s="7" t="inlineStr">
        <is>
          <t>Easy</t>
        </is>
      </c>
      <c r="C93" s="9" t="inlineStr">
        <is>
          <t>Venn Diagram Problems (3 sets)</t>
        </is>
      </c>
      <c r="D93" s="9" t="inlineStr">
        <is>
          <t>Set A has 10 elements, set B has 5 elements. What is the maximum number of elements in their union?</t>
        </is>
      </c>
      <c r="E93" s="9" t="inlineStr">
        <is>
          <t>A) 12</t>
        </is>
      </c>
      <c r="F93" s="9" t="inlineStr">
        <is>
          <t>B) 15</t>
        </is>
      </c>
      <c r="G93" s="9" t="inlineStr">
        <is>
          <t>C) 18</t>
        </is>
      </c>
      <c r="H93" s="9" t="inlineStr">
        <is>
          <t>D) 20</t>
        </is>
      </c>
      <c r="I93" s="10" t="inlineStr">
        <is>
          <t>A</t>
        </is>
      </c>
      <c r="J93" s="11" t="inlineStr">
        <is>
          <t>Union of two sets always contains all elements from both sets.</t>
        </is>
      </c>
    </row>
    <row r="94" ht="42" customHeight="1">
      <c r="A94" s="7" t="n">
        <v>92</v>
      </c>
      <c r="B94" s="7" t="inlineStr">
        <is>
          <t>Easy</t>
        </is>
      </c>
      <c r="C94" s="9" t="inlineStr">
        <is>
          <t>Venn Diagram Problems (3 sets)</t>
        </is>
      </c>
      <c r="D94" s="9" t="inlineStr">
        <is>
          <t>Sets P and Q have 8 and 5 elements respectively. What is the minimum number of elements in their intersection?</t>
        </is>
      </c>
      <c r="E94" s="9" t="inlineStr">
        <is>
          <t>A) 0</t>
        </is>
      </c>
      <c r="F94" s="9" t="inlineStr">
        <is>
          <t>B) 1</t>
        </is>
      </c>
      <c r="G94" s="9" t="inlineStr">
        <is>
          <t>C) 2</t>
        </is>
      </c>
      <c r="H94" s="9" t="inlineStr">
        <is>
          <t>D) 4</t>
        </is>
      </c>
      <c r="I94" s="10" t="inlineStr">
        <is>
          <t>B</t>
        </is>
      </c>
      <c r="J94" s="11" t="inlineStr">
        <is>
          <t>Intersection always contains common elements.</t>
        </is>
      </c>
    </row>
    <row r="95" ht="42" customHeight="1">
      <c r="A95" s="7" t="n">
        <v>93</v>
      </c>
      <c r="B95" s="7" t="inlineStr">
        <is>
          <t>Easy</t>
        </is>
      </c>
      <c r="C95" s="9" t="inlineStr">
        <is>
          <t>Venn Diagram Problems (3 sets)</t>
        </is>
      </c>
      <c r="D95" s="9" t="inlineStr">
        <is>
          <t>Sets R, S, and T have 15, 10, and 5 elements respectively. What is the maximum number of elements in their union?</t>
        </is>
      </c>
      <c r="E95" s="9" t="inlineStr">
        <is>
          <t>A) 20</t>
        </is>
      </c>
      <c r="F95" s="9" t="inlineStr">
        <is>
          <t>B) 25</t>
        </is>
      </c>
      <c r="G95" s="9" t="inlineStr">
        <is>
          <t>C) 30</t>
        </is>
      </c>
      <c r="H95" s="9" t="inlineStr">
        <is>
          <t>D) 30</t>
        </is>
      </c>
      <c r="I95" s="10" t="inlineStr">
        <is>
          <t>B</t>
        </is>
      </c>
      <c r="J95" s="11" t="inlineStr">
        <is>
          <t>Union of three sets always contains all elements from all sets.</t>
        </is>
      </c>
    </row>
    <row r="96" ht="42" customHeight="1">
      <c r="A96" s="7" t="n">
        <v>94</v>
      </c>
      <c r="B96" s="7" t="inlineStr">
        <is>
          <t>Easy</t>
        </is>
      </c>
      <c r="C96" s="9" t="inlineStr">
        <is>
          <t>Venn Diagram Problems (3 sets)</t>
        </is>
      </c>
      <c r="D96" s="9" t="inlineStr">
        <is>
          <t>Sets X and Y have 12 and 8 elements respectively. What is the minimum number of elements in their difference?</t>
        </is>
      </c>
      <c r="E96" s="9" t="inlineStr">
        <is>
          <t>A) 0</t>
        </is>
      </c>
      <c r="F96" s="9" t="inlineStr">
        <is>
          <t>B) 2</t>
        </is>
      </c>
      <c r="G96" s="9" t="inlineStr">
        <is>
          <t>C) 4</t>
        </is>
      </c>
      <c r="H96" s="9" t="inlineStr">
        <is>
          <t>D) 6</t>
        </is>
      </c>
      <c r="I96" s="10" t="inlineStr">
        <is>
          <t>B</t>
        </is>
      </c>
      <c r="J96" s="11" t="inlineStr">
        <is>
          <t>Difference always contains elements from one set but not the other.</t>
        </is>
      </c>
    </row>
    <row r="97" ht="42" customHeight="1">
      <c r="A97" s="7" t="n">
        <v>95</v>
      </c>
      <c r="B97" s="7" t="inlineStr">
        <is>
          <t>Easy</t>
        </is>
      </c>
      <c r="C97" s="9" t="inlineStr">
        <is>
          <t>Set Identities and Properties</t>
        </is>
      </c>
      <c r="D97" s="9" t="inlineStr">
        <is>
          <t>(A ∩ B) ∪ C = ?</t>
        </is>
      </c>
      <c r="E97" s="9" t="inlineStr">
        <is>
          <t>(A ∩ B) ∪ C</t>
        </is>
      </c>
      <c r="F97" s="9" t="inlineStr">
        <is>
          <t>(A ∩ C) ∪ (B ∪ C)</t>
        </is>
      </c>
      <c r="G97" s="9" t="inlineStr">
        <is>
          <t>A ∪ (B ∩ C)</t>
        </is>
      </c>
      <c r="H97" s="9" t="inlineStr">
        <is>
          <t>C</t>
        </is>
      </c>
      <c r="I97" s="10" t="inlineStr">
        <is>
          <t>A</t>
        </is>
      </c>
      <c r="J97" s="11" t="inlineStr">
        <is>
          <t>Union of intersection with union.</t>
        </is>
      </c>
    </row>
    <row r="98" ht="42" customHeight="1">
      <c r="A98" s="7" t="n">
        <v>96</v>
      </c>
      <c r="B98" s="7" t="inlineStr">
        <is>
          <t>Easy</t>
        </is>
      </c>
      <c r="C98" s="9" t="inlineStr">
        <is>
          <t>Set Identities and Properties</t>
        </is>
      </c>
      <c r="D98" s="9" t="inlineStr">
        <is>
          <t>If A ⊆ B, then what is A ∩ B equal to?</t>
        </is>
      </c>
      <c r="E98" s="9" t="inlineStr">
        <is>
          <t>A</t>
        </is>
      </c>
      <c r="F98" s="9" t="inlineStr">
        <is>
          <t>B</t>
        </is>
      </c>
      <c r="G98" s="9" t="inlineStr">
        <is>
          <t>∅</t>
        </is>
      </c>
      <c r="H98" s="9" t="inlineStr">
        <is>
          <t>A ∩ B</t>
        </is>
      </c>
      <c r="I98" s="10" t="inlineStr">
        <is>
          <t>A</t>
        </is>
      </c>
      <c r="J98" s="11" t="inlineStr">
        <is>
          <t>Intersection of subset with superset.</t>
        </is>
      </c>
    </row>
    <row r="99" ht="42" customHeight="1">
      <c r="A99" s="7" t="n">
        <v>97</v>
      </c>
      <c r="B99" s="7" t="inlineStr">
        <is>
          <t>Easy</t>
        </is>
      </c>
      <c r="C99" s="9" t="inlineStr">
        <is>
          <t>Set Identities and Properties</t>
        </is>
      </c>
      <c r="D99" s="9" t="inlineStr">
        <is>
          <t>(A ∪ B) ∩ C = ?</t>
        </is>
      </c>
      <c r="E99" s="9" t="inlineStr">
        <is>
          <t>(A ∪ B) ∩ C</t>
        </is>
      </c>
      <c r="F99" s="9" t="inlineStr">
        <is>
          <t>(A ∩ C) ∪ (B ∩ C)</t>
        </is>
      </c>
      <c r="G99" s="9" t="inlineStr">
        <is>
          <t>A ∩ C</t>
        </is>
      </c>
      <c r="H99" s="9" t="inlineStr">
        <is>
          <t>B ∩ C</t>
        </is>
      </c>
      <c r="I99" s="10" t="inlineStr">
        <is>
          <t>A</t>
        </is>
      </c>
      <c r="J99" s="11" t="inlineStr">
        <is>
          <t>Intersection of union with set.</t>
        </is>
      </c>
    </row>
    <row r="100" ht="42" customHeight="1">
      <c r="A100" s="7" t="n">
        <v>98</v>
      </c>
      <c r="B100" s="7" t="inlineStr">
        <is>
          <t>Easy</t>
        </is>
      </c>
      <c r="C100" s="9" t="inlineStr">
        <is>
          <t>Venn Diagram Problems (2 sets)</t>
        </is>
      </c>
      <c r="D100" s="9" t="inlineStr">
        <is>
          <t>Let U be the universal set. If A ∩ B = {1, 3}, A ∪ B = {1, 2, 3, 4}, and</t>
        </is>
      </c>
      <c r="E100" s="9" t="inlineStr">
        <is>
          <t>A</t>
        </is>
      </c>
      <c r="F100" s="9">
        <f> 3, find</f>
        <v/>
      </c>
      <c r="G100" s="9" t="inlineStr">
        <is>
          <t>B</t>
        </is>
      </c>
      <c r="H100" s="9" t="inlineStr">
        <is>
          <t>. A) 2 B) 3 C) 4 D) 5</t>
        </is>
      </c>
      <c r="I100" s="10" t="inlineStr">
        <is>
          <t>C</t>
        </is>
      </c>
      <c r="J100" s="11" t="inlineStr">
        <is>
          <t>Since A ∪ B is the union of all elements in U that are in either A or B, it contains all elements in U except those in A ∩ B. Therefore,</t>
        </is>
      </c>
    </row>
    <row r="101" ht="42" customHeight="1">
      <c r="A101" s="7" t="n">
        <v>99</v>
      </c>
      <c r="B101" s="7" t="inlineStr">
        <is>
          <t>Easy</t>
        </is>
      </c>
      <c r="C101" s="9" t="inlineStr">
        <is>
          <t>Venn Diagram Problems (2 sets)</t>
        </is>
      </c>
      <c r="D101" s="9" t="inlineStr">
        <is>
          <t>If A and B are two sets such that A ∩ B = {x}, A \ B = {1, 2} and B \ A = {3, 4}, find</t>
        </is>
      </c>
      <c r="E101" s="9" t="inlineStr">
        <is>
          <t>A ∪ B</t>
        </is>
      </c>
      <c r="F101" s="9" t="inlineStr">
        <is>
          <t>. A) 5 B) 6 C) 7 D) 8</t>
        </is>
      </c>
      <c r="G101" s="9" t="inlineStr">
        <is>
          <t>B</t>
        </is>
      </c>
      <c r="H101" s="9" t="inlineStr">
        <is>
          <t>Since A ∪ B contains all elements in U that are in either A or B, it contains all elements except those in A ∩ B. Therefore,</t>
        </is>
      </c>
      <c r="I101" s="10" t="inlineStr">
        <is>
          <t>A</t>
        </is>
      </c>
      <c r="J101" s="11" t="inlineStr">
        <is>
          <t>=</t>
        </is>
      </c>
    </row>
    <row r="102" ht="42" customHeight="1">
      <c r="A102" s="7" t="n">
        <v>100</v>
      </c>
      <c r="B102" s="7" t="inlineStr">
        <is>
          <t>Easy</t>
        </is>
      </c>
      <c r="C102" s="9" t="inlineStr">
        <is>
          <t>Venn Diagram Problems (2 sets)</t>
        </is>
      </c>
      <c r="D102" s="9" t="inlineStr">
        <is>
          <t>Let A and B be two sets such that A ∩ B = {1}, A \ B = {2, 3} and B \ A = {4}. Find</t>
        </is>
      </c>
      <c r="E102" s="9" t="inlineStr">
        <is>
          <t>A ∪ B</t>
        </is>
      </c>
      <c r="F102" s="9" t="inlineStr">
        <is>
          <t>. A) 4 B) 5 C) 6 D) 7</t>
        </is>
      </c>
      <c r="G102" s="9" t="inlineStr">
        <is>
          <t>C</t>
        </is>
      </c>
      <c r="H102" s="9" t="inlineStr">
        <is>
          <t>Since A ∪ B contains all elements in U that are in either A or B, it contains all elements except those in A ∩ B. Therefore,</t>
        </is>
      </c>
      <c r="I102" s="10" t="inlineStr">
        <is>
          <t>A</t>
        </is>
      </c>
      <c r="J102" s="11" t="inlineStr">
        <is>
          <t>=</t>
        </is>
      </c>
    </row>
    <row r="103" ht="42" customHeight="1">
      <c r="A103" s="7" t="n">
        <v>101</v>
      </c>
      <c r="B103" s="7" t="inlineStr">
        <is>
          <t>Easy</t>
        </is>
      </c>
      <c r="C103" s="9" t="inlineStr">
        <is>
          <t>Venn Diagram Problems (2 sets)</t>
        </is>
      </c>
      <c r="D103" s="9" t="inlineStr">
        <is>
          <t>If A and B are two sets such that A ∩ B = {1, 2}, A \ B = {3} and B \ A = {4}, find</t>
        </is>
      </c>
      <c r="E103" s="9" t="inlineStr">
        <is>
          <t>A ∪ B</t>
        </is>
      </c>
      <c r="F103" s="9" t="inlineStr">
        <is>
          <t>. A) 5 B) 6 C) 7 D) 8</t>
        </is>
      </c>
      <c r="G103" s="9" t="inlineStr">
        <is>
          <t>D</t>
        </is>
      </c>
      <c r="H103" s="9" t="inlineStr">
        <is>
          <t>Since A ∪ B contains all elements in U that are in either A or B, it contains all elements except those in A ∩ B. Therefore,</t>
        </is>
      </c>
      <c r="I103" s="10" t="inlineStr">
        <is>
          <t>A</t>
        </is>
      </c>
      <c r="J103" s="11" t="inlineStr">
        <is>
          <t>=</t>
        </is>
      </c>
    </row>
    <row r="104" ht="42" customHeight="1">
      <c r="A104" s="7" t="n">
        <v>102</v>
      </c>
      <c r="B104" s="7" t="inlineStr">
        <is>
          <t>Easy</t>
        </is>
      </c>
      <c r="C104" s="9" t="inlineStr">
        <is>
          <t>De Morgan’s Laws</t>
        </is>
      </c>
      <c r="D104" s="9" t="inlineStr">
        <is>
          <t>(A ∩ B)′ = ?</t>
        </is>
      </c>
      <c r="E104" s="9" t="inlineStr">
        <is>
          <t>A′ ∪ B′</t>
        </is>
      </c>
      <c r="F104" s="9" t="inlineStr">
        <is>
          <t>B′ ∪ A′</t>
        </is>
      </c>
      <c r="G104" s="9" t="inlineStr">
        <is>
          <t>A′ ∪ B′</t>
        </is>
      </c>
      <c r="H104" s="9" t="inlineStr">
        <is>
          <t>B′ ∪ A′</t>
        </is>
      </c>
      <c r="I104" s="10" t="inlineStr">
        <is>
          <t>A</t>
        </is>
      </c>
      <c r="J104" s="11" t="inlineStr">
        <is>
          <t>The complement of the intersection is equal to the union of complements.</t>
        </is>
      </c>
    </row>
    <row r="105" ht="42" customHeight="1">
      <c r="A105" s="7" t="n">
        <v>103</v>
      </c>
      <c r="B105" s="7" t="inlineStr">
        <is>
          <t>Easy</t>
        </is>
      </c>
      <c r="C105" s="9" t="inlineStr">
        <is>
          <t>De Morgan’s Laws</t>
        </is>
      </c>
      <c r="D105" s="9" t="inlineStr">
        <is>
          <t>(A ∪ B)′ = ?</t>
        </is>
      </c>
      <c r="E105" s="9" t="inlineStr">
        <is>
          <t>A′ ∩ B′</t>
        </is>
      </c>
      <c r="F105" s="9" t="inlineStr">
        <is>
          <t>A′ ∪ B′</t>
        </is>
      </c>
      <c r="G105" s="9" t="inlineStr">
        <is>
          <t>A′ ∩ B′</t>
        </is>
      </c>
      <c r="H105" s="9" t="inlineStr">
        <is>
          <t>B′ ∪ A′</t>
        </is>
      </c>
      <c r="I105" s="10" t="inlineStr">
        <is>
          <t>A</t>
        </is>
      </c>
      <c r="J105" s="11" t="inlineStr">
        <is>
          <t>The complement of the union is equal to the intersection of complements.</t>
        </is>
      </c>
    </row>
    <row r="106" ht="42" customHeight="1">
      <c r="A106" s="7" t="n">
        <v>104</v>
      </c>
      <c r="B106" s="7" t="inlineStr">
        <is>
          <t>Easy</t>
        </is>
      </c>
      <c r="C106" s="9" t="inlineStr">
        <is>
          <t>Basic Set Concepts (elements, subsets, types of sets)</t>
        </is>
      </c>
      <c r="D106" s="9" t="inlineStr">
        <is>
          <t>What type of set is {x</t>
        </is>
      </c>
      <c r="E106" s="9" t="inlineStr">
        <is>
          <t>x is an even number}?</t>
        </is>
      </c>
      <c r="F106" s="9" t="inlineStr">
        <is>
          <t>Finite</t>
        </is>
      </c>
      <c r="G106" s="9" t="inlineStr">
        <is>
          <t>Infinite</t>
        </is>
      </c>
      <c r="H106" s="9" t="inlineStr">
        <is>
          <t>Countable</t>
        </is>
      </c>
      <c r="I106" s="10" t="inlineStr">
        <is>
          <t>B</t>
        </is>
      </c>
      <c r="J106" s="11" t="inlineStr">
        <is>
          <t>The set contains all integers, which is infinite and countable.</t>
        </is>
      </c>
    </row>
    <row r="107" ht="42" customHeight="1">
      <c r="A107" s="7" t="n">
        <v>105</v>
      </c>
      <c r="B107" s="7" t="inlineStr">
        <is>
          <t>Easy</t>
        </is>
      </c>
      <c r="C107" s="9" t="inlineStr">
        <is>
          <t>Basic Set Concepts (elements, subsets, types of sets)</t>
        </is>
      </c>
      <c r="D107" s="9" t="inlineStr">
        <is>
          <t>What is the complement of the set {1, 2, 3} in the universal set {1, 2, 3, 4, 5}?</t>
        </is>
      </c>
      <c r="E107" s="9" t="inlineStr">
        <is>
          <t>{4, 5}</t>
        </is>
      </c>
      <c r="F107" s="9" t="inlineStr">
        <is>
          <t>{1, 2}</t>
        </is>
      </c>
      <c r="G107" s="9" t="inlineStr">
        <is>
          <t>{2, 3}</t>
        </is>
      </c>
      <c r="H107" s="9" t="inlineStr">
        <is>
          <t>{1, 4}</t>
        </is>
      </c>
      <c r="I107" s="10" t="inlineStr">
        <is>
          <t>A</t>
        </is>
      </c>
      <c r="J107" s="11" t="inlineStr">
        <is>
          <t>The complement of a set is the set of elements that are not in the original set.</t>
        </is>
      </c>
    </row>
    <row r="108" ht="42" customHeight="1">
      <c r="A108" s="7" t="n">
        <v>106</v>
      </c>
      <c r="B108" s="7" t="inlineStr">
        <is>
          <t>Easy</t>
        </is>
      </c>
      <c r="C108" s="9" t="inlineStr">
        <is>
          <t>Operations on Sets (union, intersection, difference)</t>
        </is>
      </c>
      <c r="D108" s="9" t="inlineStr">
        <is>
          <t>Let A and B be sets. Which of the following is true?</t>
        </is>
      </c>
      <c r="E108" s="9" t="inlineStr">
        <is>
          <t>A∩B ⊆ A ∪ B</t>
        </is>
      </c>
      <c r="F108" s="9" t="inlineStr">
        <is>
          <t>A∩B = A ∪ B</t>
        </is>
      </c>
      <c r="G108" s="9" t="inlineStr">
        <is>
          <t>A∩B ⊇ A ∪ B</t>
        </is>
      </c>
      <c r="H108" s="9" t="inlineStr">
        <is>
          <t>A∩B ⊂ A ∪ B</t>
        </is>
      </c>
      <c r="I108" s="10" t="inlineStr">
        <is>
          <t>D</t>
        </is>
      </c>
      <c r="J108" s="11" t="inlineStr">
        <is>
          <t>The intersection of two sets is always a subset of their union.</t>
        </is>
      </c>
    </row>
    <row r="109" ht="42" customHeight="1">
      <c r="A109" s="7" t="n">
        <v>107</v>
      </c>
      <c r="B109" s="7" t="inlineStr">
        <is>
          <t>Easy</t>
        </is>
      </c>
      <c r="C109" s="9" t="inlineStr">
        <is>
          <t>Operations on Sets (union, intersection, difference)</t>
        </is>
      </c>
      <c r="D109" s="9" t="inlineStr">
        <is>
          <t>If U = {1, 2, 3}, A = {1, 2} and B = {2, 3}, find A ∩ B.</t>
        </is>
      </c>
      <c r="E109" s="9" t="inlineStr">
        <is>
          <t>{1, 2}</t>
        </is>
      </c>
      <c r="F109" s="9" t="inlineStr">
        <is>
          <t>{2, 3}</t>
        </is>
      </c>
      <c r="G109" s="9" t="inlineStr">
        <is>
          <t>{1, 2, 3}</t>
        </is>
      </c>
      <c r="H109" s="9" t="inlineStr">
        <is>
          <t>{}</t>
        </is>
      </c>
      <c r="I109" s="10" t="inlineStr">
        <is>
          <t>B</t>
        </is>
      </c>
      <c r="J109" s="11" t="inlineStr">
        <is>
          <t>The intersection of sets A and B is the set of elements common to both.</t>
        </is>
      </c>
    </row>
    <row r="110" ht="42" customHeight="1">
      <c r="A110" s="7" t="n">
        <v>108</v>
      </c>
      <c r="B110" s="7" t="inlineStr">
        <is>
          <t>Easy</t>
        </is>
      </c>
      <c r="C110" s="9" t="inlineStr">
        <is>
          <t>Operations on Sets (union, intersection, difference)</t>
        </is>
      </c>
      <c r="D110" s="9" t="inlineStr">
        <is>
          <t>Let A = {a, b} and B = {b, c}. Find A ∪ B.</t>
        </is>
      </c>
      <c r="E110" s="9" t="inlineStr">
        <is>
          <t>{a, b, c}</t>
        </is>
      </c>
      <c r="F110" s="9" t="inlineStr">
        <is>
          <t>{a, b}</t>
        </is>
      </c>
      <c r="G110" s="9" t="inlineStr">
        <is>
          <t>{a, c}</t>
        </is>
      </c>
      <c r="H110" s="9" t="inlineStr">
        <is>
          <t>{b, c}</t>
        </is>
      </c>
      <c r="I110" s="10" t="inlineStr">
        <is>
          <t>A</t>
        </is>
      </c>
      <c r="J110" s="11" t="inlineStr">
        <is>
          <t>The union of sets A and B is the set of elements in either or both.</t>
        </is>
      </c>
    </row>
    <row r="111" ht="42" customHeight="1">
      <c r="A111" s="7" t="n">
        <v>109</v>
      </c>
      <c r="B111" s="7" t="inlineStr">
        <is>
          <t>Easy</t>
        </is>
      </c>
      <c r="C111" s="9" t="inlineStr">
        <is>
          <t>Operations on Sets (union, intersection, difference)</t>
        </is>
      </c>
      <c r="D111" s="9" t="inlineStr">
        <is>
          <t>If A = {1, 2, 3} and B = {4, 5}, find A ∩ B.</t>
        </is>
      </c>
      <c r="E111" s="9" t="inlineStr">
        <is>
          <t>{}</t>
        </is>
      </c>
      <c r="F111" s="9" t="inlineStr">
        <is>
          <t>{1, 2, 3}</t>
        </is>
      </c>
      <c r="G111" s="9" t="inlineStr">
        <is>
          <t>{4, 5}</t>
        </is>
      </c>
      <c r="H111" s="9" t="inlineStr">
        <is>
          <t>{1, 2, 3, 4, 5}</t>
        </is>
      </c>
      <c r="I111" s="10" t="inlineStr">
        <is>
          <t>A</t>
        </is>
      </c>
      <c r="J111" s="11" t="inlineStr">
        <is>
          <t>The intersection of sets A and B is the empty set since they have no common elements.</t>
        </is>
      </c>
    </row>
    <row r="112" ht="42" customHeight="1">
      <c r="A112" s="7" t="n">
        <v>110</v>
      </c>
      <c r="B112" s="7" t="inlineStr">
        <is>
          <t>Easy</t>
        </is>
      </c>
      <c r="C112" s="9" t="inlineStr">
        <is>
          <t>Cardinality of Sets</t>
        </is>
      </c>
      <c r="D112" s="9" t="inlineStr">
        <is>
          <t>Two sets A and B have</t>
        </is>
      </c>
      <c r="E112" s="9" t="inlineStr">
        <is>
          <t>A</t>
        </is>
      </c>
      <c r="F112" s="9">
        <f>3 and</f>
        <v/>
      </c>
      <c r="G112" s="9" t="inlineStr">
        <is>
          <t>B</t>
        </is>
      </c>
      <c r="H112" s="9">
        <f>2. What is the maximum possible value of</f>
        <v/>
      </c>
      <c r="I112" s="10" t="inlineStr">
        <is>
          <t>A</t>
        </is>
      </c>
      <c r="J112" s="11" t="inlineStr"/>
    </row>
    <row r="113" ht="42" customHeight="1">
      <c r="A113" s="7" t="n">
        <v>111</v>
      </c>
      <c r="B113" s="7" t="inlineStr">
        <is>
          <t>Easy</t>
        </is>
      </c>
      <c r="C113" s="9" t="inlineStr">
        <is>
          <t>Application-based Set Theory Problems</t>
        </is>
      </c>
      <c r="D113" s="9" t="inlineStr">
        <is>
          <t>If A and B are sets such that</t>
        </is>
      </c>
      <c r="E113" s="9" t="inlineStr">
        <is>
          <t>A</t>
        </is>
      </c>
      <c r="F113" s="9">
        <f> 5 and</f>
        <v/>
      </c>
      <c r="G113" s="9" t="inlineStr">
        <is>
          <t>B</t>
        </is>
      </c>
      <c r="H113" s="9">
        <f> 7, find</f>
        <v/>
      </c>
      <c r="I113" s="10" t="inlineStr">
        <is>
          <t>A</t>
        </is>
      </c>
      <c r="J113" s="11" t="inlineStr">
        <is>
          <t>, where × denotes the Cartesian product.</t>
        </is>
      </c>
    </row>
    <row r="114" ht="42" customHeight="1">
      <c r="A114" s="7" t="n">
        <v>112</v>
      </c>
      <c r="B114" s="7" t="inlineStr">
        <is>
          <t>Easy</t>
        </is>
      </c>
      <c r="C114" s="9" t="inlineStr">
        <is>
          <t>Complement of Sets</t>
        </is>
      </c>
      <c r="D114" s="9" t="inlineStr">
        <is>
          <t>If A ∩ B = {x}, what is the complement of A ∪ B?</t>
        </is>
      </c>
      <c r="E114" s="9" t="inlineStr">
        <is>
          <t>{y} where y ∈ U and y ≠ x</t>
        </is>
      </c>
      <c r="F114" s="9" t="inlineStr">
        <is>
          <t>{z} where z ∈ U and z ≠ x</t>
        </is>
      </c>
      <c r="G114" s="9" t="inlineStr">
        <is>
          <t>{w} where w ∈ U and w ≠ x</t>
        </is>
      </c>
      <c r="H114" s="9" t="inlineStr">
        <is>
          <t>{v} where v ∈ U and v ≠ x</t>
        </is>
      </c>
      <c r="I114" s="10" t="inlineStr">
        <is>
          <t>A</t>
        </is>
      </c>
      <c r="J114" s="11" t="inlineStr">
        <is>
          <t>The complement of A ∪ B is the set of all elements in U that are not in either A or B.</t>
        </is>
      </c>
    </row>
    <row r="115" ht="42" customHeight="1">
      <c r="A115" s="7" t="n">
        <v>113</v>
      </c>
      <c r="B115" s="7" t="inlineStr">
        <is>
          <t>Easy</t>
        </is>
      </c>
      <c r="C115" s="9" t="inlineStr">
        <is>
          <t>Complement of Sets</t>
        </is>
      </c>
      <c r="D115" s="9" t="inlineStr">
        <is>
          <t>Let A = {1, 2, 3} and B = {2, 4}. What is the complement of A ∩ B?</t>
        </is>
      </c>
      <c r="E115" s="9" t="inlineStr">
        <is>
          <t>{1}</t>
        </is>
      </c>
      <c r="F115" s="9" t="inlineStr">
        <is>
          <t>{3}</t>
        </is>
      </c>
      <c r="G115" s="9" t="inlineStr">
        <is>
          <t>{1, 3}</t>
        </is>
      </c>
      <c r="H115" s="9" t="inlineStr">
        <is>
          <t>{}</t>
        </is>
      </c>
      <c r="I115" s="10" t="inlineStr">
        <is>
          <t>B</t>
        </is>
      </c>
      <c r="J115" s="11" t="inlineStr">
        <is>
          <t>The complement of A ∩ B is the set of all elements in U that are not in both A and B.</t>
        </is>
      </c>
    </row>
    <row r="116" ht="42" customHeight="1">
      <c r="A116" s="7" t="n">
        <v>114</v>
      </c>
      <c r="B116" s="7" t="inlineStr">
        <is>
          <t>Easy</t>
        </is>
      </c>
      <c r="C116" s="9" t="inlineStr">
        <is>
          <t>Complement of Sets</t>
        </is>
      </c>
      <c r="D116" s="9" t="inlineStr">
        <is>
          <t>If A ⊆ B, what is the complement of A?</t>
        </is>
      </c>
      <c r="E116" s="9" t="inlineStr">
        <is>
          <t>B-A</t>
        </is>
      </c>
      <c r="F116" s="9" t="inlineStr">
        <is>
          <t>A-U</t>
        </is>
      </c>
      <c r="G116" s="9" t="inlineStr">
        <is>
          <t>U-B</t>
        </is>
      </c>
      <c r="H116" s="9" t="inlineStr">
        <is>
          <t>{}</t>
        </is>
      </c>
      <c r="I116" s="10" t="inlineStr">
        <is>
          <t>C</t>
        </is>
      </c>
      <c r="J116" s="11" t="inlineStr">
        <is>
          <t>The complement of A is the set of all elements in B that are not in A.</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8"/>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8" t="inlineStr">
        <is>
          <t>SET THEORY — MEDIUM LEVEL  (116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12" t="n">
        <v>1</v>
      </c>
      <c r="B3" s="12" t="inlineStr">
        <is>
          <t>Medium</t>
        </is>
      </c>
      <c r="C3" s="14" t="inlineStr">
        <is>
          <t>Application-based Set Theory Problems</t>
        </is>
      </c>
      <c r="D3" s="14" t="inlineStr">
        <is>
          <t>Let U be the universal set, and A, B, C be subsets such that A ⊆ B ⊆ C. If</t>
        </is>
      </c>
      <c r="E3" s="14" t="inlineStr">
        <is>
          <t>A</t>
        </is>
      </c>
      <c r="F3" s="14">
        <f> 4,</f>
        <v/>
      </c>
      <c r="G3" s="14" t="inlineStr">
        <is>
          <t>B</t>
        </is>
      </c>
      <c r="H3" s="14">
        <f> 7, and</f>
        <v/>
      </c>
      <c r="I3" s="15" t="inlineStr">
        <is>
          <t>C</t>
        </is>
      </c>
      <c r="J3" s="16">
        <f> 10, find</f>
        <v/>
      </c>
    </row>
    <row r="4" ht="42" customHeight="1">
      <c r="A4" s="12" t="n">
        <v>2</v>
      </c>
      <c r="B4" s="12" t="inlineStr">
        <is>
          <t>Medium</t>
        </is>
      </c>
      <c r="C4" s="14" t="inlineStr">
        <is>
          <t>Application-based Set Theory Problems</t>
        </is>
      </c>
      <c r="D4" s="14" t="inlineStr">
        <is>
          <t>If A and B are sets such that A ⊆ B, prove that</t>
        </is>
      </c>
      <c r="E4" s="14" t="inlineStr">
        <is>
          <t>A × B</t>
        </is>
      </c>
      <c r="F4" s="14" t="inlineStr">
        <is>
          <t>=</t>
        </is>
      </c>
      <c r="G4" s="14" t="inlineStr">
        <is>
          <t>B</t>
        </is>
      </c>
      <c r="H4" s="14" t="inlineStr">
        <is>
          <t>×</t>
        </is>
      </c>
      <c r="I4" s="15" t="inlineStr">
        <is>
          <t>A</t>
        </is>
      </c>
      <c r="J4" s="16" t="inlineStr"/>
    </row>
    <row r="5" ht="42" customHeight="1">
      <c r="A5" s="12" t="n">
        <v>3</v>
      </c>
      <c r="B5" s="12" t="inlineStr">
        <is>
          <t>Medium</t>
        </is>
      </c>
      <c r="C5" s="14" t="inlineStr">
        <is>
          <t>Application-based Set Theory Problems</t>
        </is>
      </c>
      <c r="D5" s="14" t="inlineStr">
        <is>
          <t>Let U be the universal set, and A, B be subsets such that A ∩ B = φ. If</t>
        </is>
      </c>
      <c r="E5" s="14" t="inlineStr">
        <is>
          <t>A</t>
        </is>
      </c>
      <c r="F5" s="14">
        <f> 8 and</f>
        <v/>
      </c>
      <c r="G5" s="14" t="inlineStr">
        <is>
          <t>B</t>
        </is>
      </c>
      <c r="H5" s="14">
        <f> 12, find</f>
        <v/>
      </c>
      <c r="I5" s="15" t="inlineStr">
        <is>
          <t>A</t>
        </is>
      </c>
      <c r="J5" s="16" t="inlineStr"/>
    </row>
    <row r="6" ht="42" customHeight="1">
      <c r="A6" s="12" t="n">
        <v>4</v>
      </c>
      <c r="B6" s="12" t="inlineStr">
        <is>
          <t>Medium</t>
        </is>
      </c>
      <c r="C6" s="14" t="inlineStr">
        <is>
          <t>De Morgan’s Laws</t>
        </is>
      </c>
      <c r="D6" s="14" t="inlineStr">
        <is>
          <t>Let U be the universal set and A, B be subsets. If A ∩ B' = ∅ and A' ∪ B = U, then what is A ∩ B?</t>
        </is>
      </c>
      <c r="E6" s="14" t="inlineStr">
        <is>
          <t>∅</t>
        </is>
      </c>
      <c r="F6" s="14" t="inlineStr">
        <is>
          <t>A</t>
        </is>
      </c>
      <c r="G6" s="14" t="inlineStr">
        <is>
          <t>B</t>
        </is>
      </c>
      <c r="H6" s="14" t="inlineStr">
        <is>
          <t>U</t>
        </is>
      </c>
      <c r="I6" s="15" t="inlineStr">
        <is>
          <t>D</t>
        </is>
      </c>
      <c r="J6" s="16" t="inlineStr">
        <is>
          <t>A</t>
        </is>
      </c>
    </row>
    <row r="7" ht="42" customHeight="1">
      <c r="A7" s="12" t="n">
        <v>5</v>
      </c>
      <c r="B7" s="12" t="inlineStr">
        <is>
          <t>Medium</t>
        </is>
      </c>
      <c r="C7" s="14" t="inlineStr">
        <is>
          <t>De Morgan’s Laws</t>
        </is>
      </c>
      <c r="D7" s="14" t="inlineStr">
        <is>
          <t>(P ∧ Q)' + (P ∨ Q)' = ?</t>
        </is>
      </c>
      <c r="E7" s="14" t="inlineStr">
        <is>
          <t>(P ∧ Q)'</t>
        </is>
      </c>
      <c r="F7" s="14" t="inlineStr">
        <is>
          <t>(P ∨ Q)'</t>
        </is>
      </c>
      <c r="G7" s="14" t="inlineStr">
        <is>
          <t>(P ∧ ¬Q)'</t>
        </is>
      </c>
      <c r="H7" s="14" t="inlineStr">
        <is>
          <t>(P ∨ ¬Q)'</t>
        </is>
      </c>
      <c r="I7" s="15" t="inlineStr">
        <is>
          <t>C</t>
        </is>
      </c>
      <c r="J7" s="16" t="inlineStr">
        <is>
          <t>By De Morgan's Law, (P ∧ Q)' = ¬(P ∧ Q), so (P ∧ Q)' + (P ∨ Q)' = ¬(P ∧ Q) + ¬(P ∨ Q) = ¬((P ∧ Q) ∨ (P ∨ Q)) = ¬(P ∨ Q).</t>
        </is>
      </c>
    </row>
    <row r="8" ht="42" customHeight="1">
      <c r="A8" s="12" t="n">
        <v>6</v>
      </c>
      <c r="B8" s="12" t="inlineStr">
        <is>
          <t>Medium</t>
        </is>
      </c>
      <c r="C8" s="14" t="inlineStr">
        <is>
          <t>De Morgan’s Laws</t>
        </is>
      </c>
      <c r="D8" s="14" t="inlineStr">
        <is>
          <t>(¬P ∨ Q)' = ?</t>
        </is>
      </c>
      <c r="E8" s="14" t="inlineStr">
        <is>
          <t>(P ∧ Q)'</t>
        </is>
      </c>
      <c r="F8" s="14" t="inlineStr">
        <is>
          <t>(P ∨ Q)'</t>
        </is>
      </c>
      <c r="G8" s="14" t="inlineStr">
        <is>
          <t>¬P'</t>
        </is>
      </c>
      <c r="H8" s="14" t="inlineStr">
        <is>
          <t>Q'</t>
        </is>
      </c>
      <c r="I8" s="15" t="inlineStr">
        <is>
          <t>B</t>
        </is>
      </c>
      <c r="J8" s="16" t="inlineStr">
        <is>
          <t>By De Morgan's Law, ¬P ∨ Q is equivalent to P' ∨ Q, so (¬P ∨ Q)' = (P' ∨ Q)', which simplifies to P ∧ Q'.</t>
        </is>
      </c>
    </row>
    <row r="9" ht="42" customHeight="1">
      <c r="A9" s="12" t="n">
        <v>7</v>
      </c>
      <c r="B9" s="12" t="inlineStr">
        <is>
          <t>Medium</t>
        </is>
      </c>
      <c r="C9" s="14" t="inlineStr">
        <is>
          <t>De Morgan’s Laws</t>
        </is>
      </c>
      <c r="D9" s="14" t="inlineStr">
        <is>
          <t>If A ∩ B = ∅ and A ∪ B = U, then what is A ∩ B'?</t>
        </is>
      </c>
      <c r="E9" s="14" t="inlineStr">
        <is>
          <t>∅</t>
        </is>
      </c>
      <c r="F9" s="14" t="inlineStr">
        <is>
          <t>A'</t>
        </is>
      </c>
      <c r="G9" s="14" t="inlineStr">
        <is>
          <t>B'</t>
        </is>
      </c>
      <c r="H9" s="14" t="inlineStr">
        <is>
          <t>U'</t>
        </is>
      </c>
      <c r="I9" s="15" t="inlineStr">
        <is>
          <t>D</t>
        </is>
      </c>
      <c r="J9" s="16" t="inlineStr">
        <is>
          <t>By De Morgan's Law, A ∩ B = ∅ implies A ⊆ B', so A ∪ B = U implies A' ∪ B' = U, which implies A ∩ B' = ∅.</t>
        </is>
      </c>
    </row>
    <row r="10" ht="42" customHeight="1">
      <c r="A10" s="12" t="n">
        <v>8</v>
      </c>
      <c r="B10" s="12" t="inlineStr">
        <is>
          <t>Medium</t>
        </is>
      </c>
      <c r="C10" s="14" t="inlineStr">
        <is>
          <t>Cardinality of Sets</t>
        </is>
      </c>
      <c r="D10" s="14" t="inlineStr">
        <is>
          <t>Let A and B be finite sets. If</t>
        </is>
      </c>
      <c r="E10" s="14" t="inlineStr">
        <is>
          <t>A ∪ B</t>
        </is>
      </c>
      <c r="F10" s="14">
        <f> 10 and</f>
        <v/>
      </c>
      <c r="G10" s="14" t="inlineStr">
        <is>
          <t>A ∩ B</t>
        </is>
      </c>
      <c r="H10" s="14">
        <f> 2, find</f>
        <v/>
      </c>
      <c r="I10" s="15" t="inlineStr">
        <is>
          <t>A</t>
        </is>
      </c>
      <c r="J10" s="16" t="inlineStr">
        <is>
          <t>+</t>
        </is>
      </c>
    </row>
    <row r="11" ht="42" customHeight="1">
      <c r="A11" s="12" t="n">
        <v>9</v>
      </c>
      <c r="B11" s="12" t="inlineStr">
        <is>
          <t>Medium</t>
        </is>
      </c>
      <c r="C11" s="14" t="inlineStr">
        <is>
          <t>Cardinality of Sets</t>
        </is>
      </c>
      <c r="D11" s="14" t="inlineStr">
        <is>
          <t>Let A and B be infinite sets. If</t>
        </is>
      </c>
      <c r="E11" s="14" t="inlineStr">
        <is>
          <t>A × B</t>
        </is>
      </c>
      <c r="F11" s="14" t="inlineStr">
        <is>
          <t>=</t>
        </is>
      </c>
      <c r="G11" s="14" t="inlineStr">
        <is>
          <t>A</t>
        </is>
      </c>
      <c r="H11" s="14" t="inlineStr">
        <is>
          <t>×</t>
        </is>
      </c>
      <c r="I11" s="15" t="inlineStr">
        <is>
          <t>B</t>
        </is>
      </c>
      <c r="J11" s="16" t="inlineStr">
        <is>
          <t>, prove that either A or B is countable. A</t>
        </is>
      </c>
    </row>
    <row r="12" ht="42" customHeight="1">
      <c r="A12" s="12" t="n">
        <v>10</v>
      </c>
      <c r="B12" s="12" t="inlineStr">
        <is>
          <t>Medium</t>
        </is>
      </c>
      <c r="C12" s="14" t="inlineStr">
        <is>
          <t>Venn Diagram Problems (3 sets)</t>
        </is>
      </c>
      <c r="D12" s="14" t="inlineStr">
        <is>
          <t>Three sets U, A, and B satisfy UAUB. If</t>
        </is>
      </c>
      <c r="E12" s="14" t="inlineStr">
        <is>
          <t>U</t>
        </is>
      </c>
      <c r="F12" s="14">
        <f>24,</f>
        <v/>
      </c>
      <c r="G12" s="14" t="inlineStr">
        <is>
          <t>A</t>
        </is>
      </c>
      <c r="H12" s="14">
        <f>16, and</f>
        <v/>
      </c>
      <c r="I12" s="15" t="inlineStr">
        <is>
          <t>B</t>
        </is>
      </c>
      <c r="J12" s="16">
        <f>12, find</f>
        <v/>
      </c>
    </row>
    <row r="13" ht="42" customHeight="1">
      <c r="A13" s="12" t="n">
        <v>11</v>
      </c>
      <c r="B13" s="12" t="inlineStr">
        <is>
          <t>Medium</t>
        </is>
      </c>
      <c r="C13" s="14" t="inlineStr">
        <is>
          <t>Operations on Sets (union, intersection, difference)</t>
        </is>
      </c>
      <c r="D13" s="14" t="inlineStr">
        <is>
          <t>Let A and B be sets such that A ∩ B = {1, 2} and A ∪ B = {1, 2, 3, 4}. Find A - B.</t>
        </is>
      </c>
      <c r="E13" s="14" t="inlineStr">
        <is>
          <t>{1}</t>
        </is>
      </c>
      <c r="F13" s="14" t="inlineStr">
        <is>
          <t>{1, 2}</t>
        </is>
      </c>
      <c r="G13" s="14" t="inlineStr">
        <is>
          <t>{1, 3}</t>
        </is>
      </c>
      <c r="H13" s="14" t="inlineStr">
        <is>
          <t>{2, 3}</t>
        </is>
      </c>
      <c r="I13" s="15" t="inlineStr">
        <is>
          <t>C</t>
        </is>
      </c>
      <c r="J13" s="16" t="inlineStr">
        <is>
          <t>A ∩ B is the intersection of sets, so it contains only common elements. Then, A - B are elements in A but not in B.</t>
        </is>
      </c>
    </row>
    <row r="14" ht="42" customHeight="1">
      <c r="A14" s="12" t="n">
        <v>12</v>
      </c>
      <c r="B14" s="12" t="inlineStr">
        <is>
          <t>Medium</t>
        </is>
      </c>
      <c r="C14" s="14" t="inlineStr">
        <is>
          <t>Operations on Sets (union, intersection, difference)</t>
        </is>
      </c>
      <c r="D14" s="14" t="inlineStr">
        <is>
          <t>If U = {a, b, c, d}, A = {a, b} and B = {b, c}. Find A ∩ B.</t>
        </is>
      </c>
      <c r="E14" s="14" t="inlineStr">
        <is>
          <t>{b}</t>
        </is>
      </c>
      <c r="F14" s="14" t="inlineStr">
        <is>
          <t>{a, b}</t>
        </is>
      </c>
      <c r="G14" s="14" t="inlineStr">
        <is>
          <t>{b, c}</t>
        </is>
      </c>
      <c r="H14" s="14" t="inlineStr">
        <is>
          <t>{}</t>
        </is>
      </c>
      <c r="I14" s="15" t="inlineStr">
        <is>
          <t>B</t>
        </is>
      </c>
      <c r="J14" s="16" t="inlineStr">
        <is>
          <t>A ∩ B is the set of elements common to both sets.</t>
        </is>
      </c>
    </row>
    <row r="15" ht="42" customHeight="1">
      <c r="A15" s="12" t="n">
        <v>13</v>
      </c>
      <c r="B15" s="12" t="inlineStr">
        <is>
          <t>Medium</t>
        </is>
      </c>
      <c r="C15" s="14" t="inlineStr">
        <is>
          <t>Operations on Sets (union, intersection, difference)</t>
        </is>
      </c>
      <c r="D15" s="14" t="inlineStr">
        <is>
          <t>Let A and B be sets such that A = {1, 2, 3} and B = {2, 4}. Find A ∪ B - (A ∩ B).</t>
        </is>
      </c>
      <c r="E15" s="14" t="inlineStr">
        <is>
          <t>{1, 3, 4}</t>
        </is>
      </c>
      <c r="F15" s="14" t="inlineStr">
        <is>
          <t>{1, 2, 3, 4}</t>
        </is>
      </c>
      <c r="G15" s="14" t="inlineStr">
        <is>
          <t>{1, 3}</t>
        </is>
      </c>
      <c r="H15" s="14" t="inlineStr">
        <is>
          <t>{}</t>
        </is>
      </c>
      <c r="I15" s="15" t="inlineStr">
        <is>
          <t>D</t>
        </is>
      </c>
      <c r="J15" s="16" t="inlineStr">
        <is>
          <t>(A ∪ B) is the union of sets, so it contains all elements. Then, subtracting their intersection gives unique elements in either set.</t>
        </is>
      </c>
    </row>
    <row r="16" ht="42" customHeight="1">
      <c r="A16" s="12" t="n">
        <v>14</v>
      </c>
      <c r="B16" s="12" t="inlineStr">
        <is>
          <t>Medium</t>
        </is>
      </c>
      <c r="C16" s="14" t="inlineStr">
        <is>
          <t>Complement of Sets</t>
        </is>
      </c>
      <c r="D16" s="14" t="inlineStr">
        <is>
          <t>Let R be the relation on the set {1, 2, 3} such that R = {(1, 2), (2, 3)}. Find the complement of R with respect to the universal set U = {1, 2, 3}.</t>
        </is>
      </c>
      <c r="E16" s="14" t="inlineStr">
        <is>
          <t>{(1, 3)}</t>
        </is>
      </c>
      <c r="F16" s="14" t="inlineStr">
        <is>
          <t>{(2, 1)}</t>
        </is>
      </c>
      <c r="G16" s="14" t="inlineStr">
        <is>
          <t>{(3, 2)}</t>
        </is>
      </c>
      <c r="H16" s="14" t="inlineStr">
        <is>
          <t>{(1, 1)}</t>
        </is>
      </c>
      <c r="I16" s="15" t="inlineStr">
        <is>
          <t>A</t>
        </is>
      </c>
      <c r="J16" s="16" t="inlineStr">
        <is>
          <t>Find the relation's complement by taking all ordered pairs not in the original relation.</t>
        </is>
      </c>
    </row>
    <row r="17" ht="42" customHeight="1">
      <c r="A17" s="12" t="n">
        <v>15</v>
      </c>
      <c r="B17" s="12" t="inlineStr">
        <is>
          <t>Medium</t>
        </is>
      </c>
      <c r="C17" s="14" t="inlineStr">
        <is>
          <t>Complement of Sets</t>
        </is>
      </c>
      <c r="D17" s="14" t="inlineStr">
        <is>
          <t>If A and B are subsets of a universal set U such that</t>
        </is>
      </c>
      <c r="E17" s="14" t="inlineStr">
        <is>
          <t>A ∩ B'</t>
        </is>
      </c>
      <c r="F17" s="14">
        <f> 4 and</f>
        <v/>
      </c>
      <c r="G17" s="14" t="inlineStr">
        <is>
          <t>B'</t>
        </is>
      </c>
      <c r="H17" s="14">
        <f> 6, find</f>
        <v/>
      </c>
      <c r="I17" s="15" t="inlineStr">
        <is>
          <t>A</t>
        </is>
      </c>
      <c r="J17" s="16" t="inlineStr">
        <is>
          <t>.</t>
        </is>
      </c>
    </row>
    <row r="18" ht="42" customHeight="1">
      <c r="A18" s="12" t="n">
        <v>16</v>
      </c>
      <c r="B18" s="12" t="inlineStr">
        <is>
          <t>Medium</t>
        </is>
      </c>
      <c r="C18" s="14" t="inlineStr">
        <is>
          <t>Basic Set Concepts (elements, subsets, types of sets)</t>
        </is>
      </c>
      <c r="D18" s="14" t="inlineStr">
        <is>
          <t>Let U be the universal set containing all integers. Which of the following is a subset of U?</t>
        </is>
      </c>
      <c r="E18" s="14" t="inlineStr">
        <is>
          <t>All prime numbers</t>
        </is>
      </c>
      <c r="F18" s="14" t="inlineStr">
        <is>
          <t>All even numbers</t>
        </is>
      </c>
      <c r="G18" s="14" t="inlineStr">
        <is>
          <t>All odd numbers</t>
        </is>
      </c>
      <c r="H18" s="14" t="inlineStr">
        <is>
          <t>All rational numbers</t>
        </is>
      </c>
      <c r="I18" s="15" t="inlineStr">
        <is>
          <t>A</t>
        </is>
      </c>
      <c r="J18" s="16" t="inlineStr">
        <is>
          <t>All prime numbers are integers.</t>
        </is>
      </c>
    </row>
    <row r="19" ht="42" customHeight="1">
      <c r="A19" s="12" t="n">
        <v>17</v>
      </c>
      <c r="B19" s="12" t="inlineStr">
        <is>
          <t>Medium</t>
        </is>
      </c>
      <c r="C19" s="14" t="inlineStr">
        <is>
          <t>Basic Set Concepts (elements, subsets, types of sets)</t>
        </is>
      </c>
      <c r="D19" s="14" t="inlineStr">
        <is>
          <t>If A = {1, 2, 3} and B = {2, 4}, what is the set difference A \ B equal to?</t>
        </is>
      </c>
      <c r="E19" s="14" t="inlineStr">
        <is>
          <t>[1]</t>
        </is>
      </c>
      <c r="F19" s="14" t="inlineStr">
        <is>
          <t>{1}</t>
        </is>
      </c>
      <c r="G19" s="14" t="inlineStr">
        <is>
          <t>{1, 3}</t>
        </is>
      </c>
      <c r="H19" s="14" t="inlineStr">
        <is>
          <t>{}</t>
        </is>
      </c>
      <c r="I19" s="15" t="inlineStr">
        <is>
          <t>C</t>
        </is>
      </c>
      <c r="J19" s="16" t="inlineStr">
        <is>
          <t>A \ B = {1, 3}.</t>
        </is>
      </c>
    </row>
    <row r="20" ht="42" customHeight="1">
      <c r="A20" s="12" t="n">
        <v>18</v>
      </c>
      <c r="B20" s="12" t="inlineStr">
        <is>
          <t>Medium</t>
        </is>
      </c>
      <c r="C20" s="14" t="inlineStr">
        <is>
          <t>Basic Set Concepts (elements, subsets, types of sets)</t>
        </is>
      </c>
      <c r="D20" s="14" t="inlineStr">
        <is>
          <t>Let S be a set containing all letters in the English alphabet. Which of the following is a subset of S?</t>
        </is>
      </c>
      <c r="E20" s="14" t="inlineStr">
        <is>
          <t>All vowels</t>
        </is>
      </c>
      <c r="F20" s="14" t="inlineStr">
        <is>
          <t>All consonants</t>
        </is>
      </c>
      <c r="G20" s="14" t="inlineStr">
        <is>
          <t>All uppercase letters</t>
        </is>
      </c>
      <c r="H20" s="14" t="inlineStr">
        <is>
          <t>All lowercase letters</t>
        </is>
      </c>
      <c r="I20" s="15" t="inlineStr">
        <is>
          <t>D</t>
        </is>
      </c>
      <c r="J20" s="16" t="inlineStr">
        <is>
          <t>All lowercase letters are a subset of S.</t>
        </is>
      </c>
    </row>
    <row r="21" ht="42" customHeight="1">
      <c r="A21" s="12" t="n">
        <v>19</v>
      </c>
      <c r="B21" s="12" t="inlineStr">
        <is>
          <t>Medium</t>
        </is>
      </c>
      <c r="C21" s="14" t="inlineStr">
        <is>
          <t>Basic Set Concepts (elements, subsets, types of sets)</t>
        </is>
      </c>
      <c r="D21" s="14" t="inlineStr">
        <is>
          <t>If A = {a, b} and B = {b, c}, what is the union set A ∪ B equal to?</t>
        </is>
      </c>
      <c r="E21" s="14" t="inlineStr">
        <is>
          <t>[a, c]</t>
        </is>
      </c>
      <c r="F21" s="14" t="inlineStr">
        <is>
          <t>{a, b, c}</t>
        </is>
      </c>
      <c r="G21" s="14" t="inlineStr">
        <is>
          <t>{a, b}</t>
        </is>
      </c>
      <c r="H21" s="14" t="inlineStr">
        <is>
          <t>{a, c}</t>
        </is>
      </c>
      <c r="I21" s="15" t="inlineStr">
        <is>
          <t>B</t>
        </is>
      </c>
      <c r="J21" s="16" t="inlineStr">
        <is>
          <t>A ∪ B = {a, b, c}.</t>
        </is>
      </c>
    </row>
    <row r="22" ht="42" customHeight="1">
      <c r="A22" s="12" t="n">
        <v>20</v>
      </c>
      <c r="B22" s="12" t="inlineStr">
        <is>
          <t>Medium</t>
        </is>
      </c>
      <c r="C22" s="14" t="inlineStr">
        <is>
          <t>Venn Diagram Problems (2 sets)</t>
        </is>
      </c>
      <c r="D22" s="14" t="inlineStr">
        <is>
          <t>Let U be the universal set containing all students in a university. If A represents the set of students who are engineers, B represents the set of students who are from India, and C represents the set of students who are both engineers and from India, which of the following is true?</t>
        </is>
      </c>
      <c r="E22" s="14" t="inlineStr">
        <is>
          <t>A∩B⊆C</t>
        </is>
      </c>
      <c r="F22" s="14" t="inlineStr">
        <is>
          <t>A∪B⊇C</t>
        </is>
      </c>
      <c r="G22" s="14" t="inlineStr">
        <is>
          <t>A∩B=C</t>
        </is>
      </c>
      <c r="H22" s="14" t="inlineStr">
        <is>
          <t>B⊆A\</t>
        </is>
      </c>
      <c r="I22" s="15" t="inlineStr">
        <is>
          <t>D</t>
        </is>
      </c>
      <c r="J22" s="16" t="inlineStr">
        <is>
          <t>A∩B⊆C</t>
        </is>
      </c>
    </row>
    <row r="23" ht="42" customHeight="1">
      <c r="A23" s="12" t="n">
        <v>21</v>
      </c>
      <c r="B23" s="12" t="inlineStr">
        <is>
          <t>Medium</t>
        </is>
      </c>
      <c r="C23" s="14" t="inlineStr">
        <is>
          <t>Venn Diagram Problems (2 sets)</t>
        </is>
      </c>
      <c r="D23" s="14" t="inlineStr">
        <is>
          <t>Let A and B be two sets such that</t>
        </is>
      </c>
      <c r="E23" s="14" t="inlineStr">
        <is>
          <t>A</t>
        </is>
      </c>
      <c r="F23" s="14">
        <f>8,</f>
        <v/>
      </c>
      <c r="G23" s="14" t="inlineStr">
        <is>
          <t>B</t>
        </is>
      </c>
      <c r="H23" s="14">
        <f>12, and</f>
        <v/>
      </c>
      <c r="I23" s="15" t="inlineStr">
        <is>
          <t>A</t>
        </is>
      </c>
      <c r="J23" s="16">
        <f>3. What is the value of</f>
        <v/>
      </c>
    </row>
    <row r="24" ht="42" customHeight="1">
      <c r="A24" s="12" t="n">
        <v>22</v>
      </c>
      <c r="B24" s="12" t="inlineStr">
        <is>
          <t>Medium</t>
        </is>
      </c>
      <c r="C24" s="14" t="inlineStr">
        <is>
          <t>Word Problems using Sets</t>
        </is>
      </c>
      <c r="D24" s="14" t="inlineStr">
        <is>
          <t>A bakery offers a discount on bulk orders. If buying 3 sets of cookies (each set contains 2 dozen) costs $24, and buying 5 sets of cookies costs $40, find the cost of one set of cookies.</t>
        </is>
      </c>
      <c r="E24" s="14" t="inlineStr">
        <is>
          <t>$8</t>
        </is>
      </c>
      <c r="F24" s="14" t="inlineStr">
        <is>
          <t>$12</t>
        </is>
      </c>
      <c r="G24" s="14" t="inlineStr">
        <is>
          <t>$16</t>
        </is>
      </c>
      <c r="H24" s="14" t="inlineStr">
        <is>
          <t>$20</t>
        </is>
      </c>
      <c r="I24" s="15" t="inlineStr">
        <is>
          <t>D</t>
        </is>
      </c>
      <c r="J24" s="16" t="inlineStr">
        <is>
          <t>Use ratio to find the cost of one set: 3 sets = $24 → 1 set = $24/3 = $8.</t>
        </is>
      </c>
    </row>
    <row r="25" ht="42" customHeight="1">
      <c r="A25" s="12" t="n">
        <v>23</v>
      </c>
      <c r="B25" s="12" t="inlineStr">
        <is>
          <t>Medium</t>
        </is>
      </c>
      <c r="C25" s="14" t="inlineStr">
        <is>
          <t>Word Problems using Sets</t>
        </is>
      </c>
      <c r="D25" s="14" t="inlineStr">
        <is>
          <t>A company has two types of employees: full-time and part-time. If there are 15 full-time employees, 20 part-time employees, and a total of 30 employees who earn more than $50,000 per year, find the number of full-time employees earning more than $50,000 per year.</t>
        </is>
      </c>
      <c r="E25" s="14" t="inlineStr">
        <is>
          <t>5</t>
        </is>
      </c>
      <c r="F25" s="14" t="inlineStr">
        <is>
          <t>10</t>
        </is>
      </c>
      <c r="G25" s="14" t="inlineStr">
        <is>
          <t>12</t>
        </is>
      </c>
      <c r="H25" s="14" t="inlineStr">
        <is>
          <t>15</t>
        </is>
      </c>
      <c r="I25" s="15" t="inlineStr">
        <is>
          <t>A</t>
        </is>
      </c>
      <c r="J25" s="16" t="inlineStr">
        <is>
          <t>Use Venn diagram to find the intersection: Full-time ∩ High-earning = 5.</t>
        </is>
      </c>
    </row>
    <row r="26" ht="42" customHeight="1">
      <c r="A26" s="12" t="n">
        <v>24</v>
      </c>
      <c r="B26" s="12" t="inlineStr">
        <is>
          <t>Medium</t>
        </is>
      </c>
      <c r="C26" s="14" t="inlineStr">
        <is>
          <t>Word Problems using Sets</t>
        </is>
      </c>
      <c r="D26" s="14" t="inlineStr">
        <is>
          <t>A library has three types of books: fiction, non-fiction, and biographies. If there are 120 fiction books, 150 non-fiction books, and a total of 200 books written by authors who won the Nobel Prize, find the number of biography books written by Nobel laureates.</t>
        </is>
      </c>
      <c r="E26" s="14" t="inlineStr">
        <is>
          <t>30</t>
        </is>
      </c>
      <c r="F26" s="14" t="inlineStr">
        <is>
          <t>40</t>
        </is>
      </c>
      <c r="G26" s="14" t="inlineStr">
        <is>
          <t>50</t>
        </is>
      </c>
      <c r="H26" s="14" t="inlineStr">
        <is>
          <t>60</t>
        </is>
      </c>
      <c r="I26" s="15" t="inlineStr">
        <is>
          <t>C</t>
        </is>
      </c>
      <c r="J26" s="16" t="inlineStr">
        <is>
          <t>Use Venn diagram to find the intersection: Biographies ∩ Nobel = 50.</t>
        </is>
      </c>
    </row>
    <row r="27" ht="42" customHeight="1">
      <c r="A27" s="12" t="n">
        <v>25</v>
      </c>
      <c r="B27" s="12" t="inlineStr">
        <is>
          <t>Medium</t>
        </is>
      </c>
      <c r="C27" s="14" t="inlineStr">
        <is>
          <t>Word Problems using Sets</t>
        </is>
      </c>
      <c r="D27" s="14" t="inlineStr">
        <is>
          <t>A university has two types of students: undergraduate and graduate. If there are 3000 undergraduate students, 2000 graduate students, and a total of 3500 students who have studied abroad, find the number of graduate students who have studied abroad.</t>
        </is>
      </c>
      <c r="E27" s="14" t="inlineStr">
        <is>
          <t>500</t>
        </is>
      </c>
      <c r="F27" s="14" t="inlineStr">
        <is>
          <t>700</t>
        </is>
      </c>
      <c r="G27" s="14" t="inlineStr">
        <is>
          <t>800</t>
        </is>
      </c>
      <c r="H27" s="14" t="inlineStr">
        <is>
          <t>1000</t>
        </is>
      </c>
      <c r="I27" s="15" t="inlineStr">
        <is>
          <t>B</t>
        </is>
      </c>
      <c r="J27" s="16" t="inlineStr">
        <is>
          <t>Use Venn diagram to find the intersection: Graduate ∩ Studied-abroad = 800.</t>
        </is>
      </c>
    </row>
    <row r="28" ht="42" customHeight="1">
      <c r="A28" s="12" t="n">
        <v>26</v>
      </c>
      <c r="B28" s="12" t="inlineStr">
        <is>
          <t>Medium</t>
        </is>
      </c>
      <c r="C28" s="14" t="inlineStr">
        <is>
          <t>Set Identities and Properties</t>
        </is>
      </c>
      <c r="D28" s="14" t="inlineStr">
        <is>
          <t>Let U be the universal set, A and B be subsets of U. If</t>
        </is>
      </c>
      <c r="E28" s="14" t="inlineStr">
        <is>
          <t>A ∪ B</t>
        </is>
      </c>
      <c r="F28" s="14">
        <f> 10 and</f>
        <v/>
      </c>
      <c r="G28" s="14" t="inlineStr">
        <is>
          <t>A ∩ B</t>
        </is>
      </c>
      <c r="H28" s="14">
        <f> 2, find</f>
        <v/>
      </c>
      <c r="I28" s="15" t="inlineStr">
        <is>
          <t>A</t>
        </is>
      </c>
      <c r="J28" s="16" t="inlineStr">
        <is>
          <t>+</t>
        </is>
      </c>
    </row>
    <row r="29" ht="42" customHeight="1">
      <c r="A29" s="12" t="n">
        <v>27</v>
      </c>
      <c r="B29" s="12" t="inlineStr">
        <is>
          <t>Medium</t>
        </is>
      </c>
      <c r="C29" s="14" t="inlineStr">
        <is>
          <t>Set Identities and Properties</t>
        </is>
      </c>
      <c r="D29" s="14" t="inlineStr">
        <is>
          <t>If A and B are sets such that A ⊆ B and</t>
        </is>
      </c>
      <c r="E29" s="14" t="inlineStr">
        <is>
          <t>A</t>
        </is>
      </c>
      <c r="F29" s="14">
        <f> 5, find</f>
        <v/>
      </c>
      <c r="G29" s="14" t="inlineStr">
        <is>
          <t>B</t>
        </is>
      </c>
      <c r="H29" s="14" t="inlineStr">
        <is>
          <t>. A) 5 B) 8 C) 10 D) 12</t>
        </is>
      </c>
      <c r="I29" s="15" t="inlineStr">
        <is>
          <t>C</t>
        </is>
      </c>
      <c r="J29" s="16" t="inlineStr">
        <is>
          <t>Use subset relation to determine the size of the larger set.</t>
        </is>
      </c>
    </row>
    <row r="30" ht="42" customHeight="1">
      <c r="A30" s="12" t="n">
        <v>28</v>
      </c>
      <c r="B30" s="12" t="inlineStr">
        <is>
          <t>Medium</t>
        </is>
      </c>
      <c r="C30" s="14" t="inlineStr">
        <is>
          <t>Set Identities and Properties</t>
        </is>
      </c>
      <c r="D30" s="14" t="inlineStr">
        <is>
          <t>If A and B are sets such that</t>
        </is>
      </c>
      <c r="E30" s="14" t="inlineStr">
        <is>
          <t>A ∪ B</t>
        </is>
      </c>
      <c r="F30" s="14">
        <f> 12,</f>
        <v/>
      </c>
      <c r="G30" s="14" t="inlineStr">
        <is>
          <t>A ∩ B</t>
        </is>
      </c>
      <c r="H30" s="14">
        <f> 3, and</f>
        <v/>
      </c>
      <c r="I30" s="15" t="inlineStr">
        <is>
          <t>A</t>
        </is>
      </c>
      <c r="J30" s="16">
        <f> 8, find</f>
        <v/>
      </c>
    </row>
    <row r="31" ht="42" customHeight="1">
      <c r="A31" s="12" t="n">
        <v>29</v>
      </c>
      <c r="B31" s="12" t="inlineStr">
        <is>
          <t>Medium</t>
        </is>
      </c>
      <c r="C31" s="14" t="inlineStr">
        <is>
          <t>Application-based Set Theory Problems</t>
        </is>
      </c>
      <c r="D31" s="14" t="inlineStr">
        <is>
          <t>R is the universal set, U. If A ∩ B = {2, 3}, A ∪ B = {1, 2, 3, 4, 5}, and A' ∩ B' = φ, find</t>
        </is>
      </c>
      <c r="E31" s="14" t="inlineStr">
        <is>
          <t>A ∩ R</t>
        </is>
      </c>
      <c r="F31" s="14" t="inlineStr">
        <is>
          <t>. A) 2</t>
        </is>
      </c>
      <c r="G31" s="14" t="inlineStr">
        <is>
          <t>B) 3</t>
        </is>
      </c>
      <c r="H31" s="14" t="inlineStr">
        <is>
          <t>C) 4</t>
        </is>
      </c>
      <c r="I31" s="15" t="inlineStr">
        <is>
          <t>D</t>
        </is>
      </c>
      <c r="J31" s="16" t="inlineStr">
        <is>
          <t>A</t>
        </is>
      </c>
    </row>
    <row r="32" ht="42" customHeight="1">
      <c r="A32" s="12" t="n">
        <v>30</v>
      </c>
      <c r="B32" s="12" t="inlineStr">
        <is>
          <t>Medium</t>
        </is>
      </c>
      <c r="C32" s="14" t="inlineStr">
        <is>
          <t>Application-based Set Theory Problems</t>
        </is>
      </c>
      <c r="D32" s="14" t="inlineStr">
        <is>
          <t>Let S be a set of integers such that S = {x</t>
        </is>
      </c>
      <c r="E32" s="14" t="inlineStr">
        <is>
          <t>x is an integer and 1 ≤ x ≤ 10}. Find the number of elements in the set S. A) 9</t>
        </is>
      </c>
      <c r="F32" s="14" t="inlineStr">
        <is>
          <t>B) 10</t>
        </is>
      </c>
      <c r="G32" s="14" t="inlineStr">
        <is>
          <t>C) 11</t>
        </is>
      </c>
      <c r="H32" s="14" t="inlineStr">
        <is>
          <t>D) 12</t>
        </is>
      </c>
      <c r="I32" s="15" t="inlineStr">
        <is>
          <t>A</t>
        </is>
      </c>
      <c r="J32" s="16" t="inlineStr">
        <is>
          <t>Count the number of integers from 1 to 10.</t>
        </is>
      </c>
    </row>
    <row r="33" ht="42" customHeight="1">
      <c r="A33" s="12" t="n">
        <v>31</v>
      </c>
      <c r="B33" s="12" t="inlineStr">
        <is>
          <t>Medium</t>
        </is>
      </c>
      <c r="C33" s="14" t="inlineStr">
        <is>
          <t>Application-based Set Theory Problems</t>
        </is>
      </c>
      <c r="D33" s="14" t="inlineStr">
        <is>
          <t>R is a set of real numbers. If A = {x</t>
        </is>
      </c>
      <c r="E33" s="14" t="inlineStr">
        <is>
          <t>x is an irrational number} and B = {x</t>
        </is>
      </c>
      <c r="F33" s="14" t="inlineStr">
        <is>
          <t>x is a rational number}, find</t>
        </is>
      </c>
      <c r="G33" s="14" t="inlineStr">
        <is>
          <t>A' ∩ R</t>
        </is>
      </c>
      <c r="H33" s="14" t="inlineStr">
        <is>
          <t>. A) 0</t>
        </is>
      </c>
      <c r="I33" s="15" t="inlineStr">
        <is>
          <t>B</t>
        </is>
      </c>
      <c r="J33" s="16" t="inlineStr">
        <is>
          <t>C) 2</t>
        </is>
      </c>
    </row>
    <row r="34" ht="42" customHeight="1">
      <c r="A34" s="12" t="n">
        <v>32</v>
      </c>
      <c r="B34" s="12" t="inlineStr">
        <is>
          <t>Medium</t>
        </is>
      </c>
      <c r="C34" s="14" t="inlineStr">
        <is>
          <t>De Morgan’s Laws</t>
        </is>
      </c>
      <c r="D34" s="14" t="inlineStr">
        <is>
          <t>Let U be the universal set, A and B be sets. If A ∩ B = ∅ and A ∪ B = U, then which of the following is true?</t>
        </is>
      </c>
      <c r="E34" s="14" t="inlineStr">
        <is>
          <t>A ∩ B = ∅</t>
        </is>
      </c>
      <c r="F34" s="14" t="inlineStr">
        <is>
          <t>B ⊆ A</t>
        </is>
      </c>
      <c r="G34" s="14" t="inlineStr">
        <is>
          <t>A ⊆ B</t>
        </is>
      </c>
      <c r="H34" s="14" t="inlineStr">
        <is>
          <t>U ⊆ A ∪ B</t>
        </is>
      </c>
      <c r="I34" s="15" t="inlineStr">
        <is>
          <t>D</t>
        </is>
      </c>
      <c r="J34" s="16" t="inlineStr">
        <is>
          <t>The given conditions imply that A and B are disjoint sets.</t>
        </is>
      </c>
    </row>
    <row r="35" ht="42" customHeight="1">
      <c r="A35" s="12" t="n">
        <v>33</v>
      </c>
      <c r="B35" s="12" t="inlineStr">
        <is>
          <t>Medium</t>
        </is>
      </c>
      <c r="C35" s="14" t="inlineStr">
        <is>
          <t>De Morgan’s Laws</t>
        </is>
      </c>
      <c r="D35" s="14" t="inlineStr">
        <is>
          <t>(P ∩ Q)′ + (P′ ∩ Q)′ = ?</t>
        </is>
      </c>
      <c r="E35" s="14" t="inlineStr">
        <is>
          <t>(P ∩ Q)′</t>
        </is>
      </c>
      <c r="F35" s="14" t="inlineStr">
        <is>
          <t>(P′ ∩ Q)′</t>
        </is>
      </c>
      <c r="G35" s="14" t="inlineStr">
        <is>
          <t>P′ ∩ Q′</t>
        </is>
      </c>
      <c r="H35" s="14" t="inlineStr">
        <is>
          <t>P′ ∪ Q′</t>
        </is>
      </c>
      <c r="I35" s="15" t="inlineStr">
        <is>
          <t>B</t>
        </is>
      </c>
      <c r="J35" s="16" t="inlineStr">
        <is>
          <t>(De Morgan's Law: (A ∩ B)′ = A′ ∪ B′)</t>
        </is>
      </c>
    </row>
    <row r="36" ht="42" customHeight="1">
      <c r="A36" s="12" t="n">
        <v>34</v>
      </c>
      <c r="B36" s="12" t="inlineStr">
        <is>
          <t>Medium</t>
        </is>
      </c>
      <c r="C36" s="14" t="inlineStr">
        <is>
          <t>De Morgan’s Laws</t>
        </is>
      </c>
      <c r="D36" s="14" t="inlineStr">
        <is>
          <t>If A and B are sets such that A′ ∩ B′ = ∅, then which of the following is true?</t>
        </is>
      </c>
      <c r="E36" s="14" t="inlineStr">
        <is>
          <t>A ⊆ B</t>
        </is>
      </c>
      <c r="F36" s="14" t="inlineStr">
        <is>
          <t>B ⊆ A</t>
        </is>
      </c>
      <c r="G36" s="14" t="inlineStr">
        <is>
          <t>A ∩ B = ∅</t>
        </is>
      </c>
      <c r="H36" s="14" t="inlineStr">
        <is>
          <t>A ∪ B = U</t>
        </is>
      </c>
      <c r="I36" s="15" t="inlineStr">
        <is>
          <t>D</t>
        </is>
      </c>
      <c r="J36" s="16" t="inlineStr">
        <is>
          <t>(A ∩ B)′ = (A′ ∪ B′), so if A′ ∩ B′ = ∅, then A ∩ B = ∅.</t>
        </is>
      </c>
    </row>
    <row r="37" ht="42" customHeight="1">
      <c r="A37" s="12" t="n">
        <v>35</v>
      </c>
      <c r="B37" s="12" t="inlineStr">
        <is>
          <t>Medium</t>
        </is>
      </c>
      <c r="C37" s="14" t="inlineStr">
        <is>
          <t>De Morgan’s Laws</t>
        </is>
      </c>
      <c r="D37" s="14" t="inlineStr">
        <is>
          <t>Let P and Q be sets. Which of the following is equivalent to (P ∪ Q)′?</t>
        </is>
      </c>
      <c r="E37" s="14" t="inlineStr">
        <is>
          <t>(P ∩ Q)′</t>
        </is>
      </c>
      <c r="F37" s="14" t="inlineStr">
        <is>
          <t>(P′ ∩ Q)′</t>
        </is>
      </c>
      <c r="G37" s="14" t="inlineStr">
        <is>
          <t>P′ ∪ Q′</t>
        </is>
      </c>
      <c r="H37" s="14" t="inlineStr">
        <is>
          <t>P′ ∩ Q′</t>
        </is>
      </c>
      <c r="I37" s="15" t="inlineStr">
        <is>
          <t>A</t>
        </is>
      </c>
      <c r="J37" s="16" t="inlineStr">
        <is>
          <t>(De Morgan's Law: (A ∪ B)′ = A′ ∩ B′)</t>
        </is>
      </c>
    </row>
    <row r="38" ht="42" customHeight="1">
      <c r="A38" s="12" t="n">
        <v>36</v>
      </c>
      <c r="B38" s="12" t="inlineStr">
        <is>
          <t>Medium</t>
        </is>
      </c>
      <c r="C38" s="14" t="inlineStr">
        <is>
          <t>Cardinality of Sets</t>
        </is>
      </c>
      <c r="D38" s="14" t="inlineStr">
        <is>
          <t>Let A and B be finite sets. If</t>
        </is>
      </c>
      <c r="E38" s="14" t="inlineStr">
        <is>
          <t>A ∪ B</t>
        </is>
      </c>
      <c r="F38" s="14" t="inlineStr">
        <is>
          <t>=</t>
        </is>
      </c>
      <c r="G38" s="14" t="inlineStr">
        <is>
          <t>A</t>
        </is>
      </c>
      <c r="H38" s="14" t="inlineStr">
        <is>
          <t>+</t>
        </is>
      </c>
      <c r="I38" s="15" t="inlineStr">
        <is>
          <t>B</t>
        </is>
      </c>
      <c r="J38" s="16" t="inlineStr">
        <is>
          <t>-</t>
        </is>
      </c>
    </row>
    <row r="39" ht="42" customHeight="1">
      <c r="A39" s="12" t="n">
        <v>37</v>
      </c>
      <c r="B39" s="12" t="inlineStr">
        <is>
          <t>Medium</t>
        </is>
      </c>
      <c r="C39" s="14" t="inlineStr">
        <is>
          <t>Venn Diagram Problems (3 sets)</t>
        </is>
      </c>
      <c r="D39" s="14" t="inlineStr">
        <is>
          <t>Three sets A, B, and C are represented by the following Venn diagram. If</t>
        </is>
      </c>
      <c r="E39" s="14" t="inlineStr">
        <is>
          <t>A</t>
        </is>
      </c>
      <c r="F39" s="14">
        <f> 12,</f>
        <v/>
      </c>
      <c r="G39" s="14" t="inlineStr">
        <is>
          <t>B</t>
        </is>
      </c>
      <c r="H39" s="14">
        <f> 8, and</f>
        <v/>
      </c>
      <c r="I39" s="15" t="inlineStr">
        <is>
          <t>C</t>
        </is>
      </c>
      <c r="J39" s="16">
        <f> 4, find</f>
        <v/>
      </c>
    </row>
    <row r="40" ht="42" customHeight="1">
      <c r="A40" s="12" t="n">
        <v>38</v>
      </c>
      <c r="B40" s="12" t="inlineStr">
        <is>
          <t>Medium</t>
        </is>
      </c>
      <c r="C40" s="14" t="inlineStr">
        <is>
          <t>Operations on Sets (union, intersection, difference)</t>
        </is>
      </c>
      <c r="D40" s="14" t="inlineStr">
        <is>
          <t>Let A = {1, 2, 3} and B = {2, 3, 4}. Find A ∩ B</t>
        </is>
      </c>
      <c r="E40" s="14" t="inlineStr">
        <is>
          <t>{1}</t>
        </is>
      </c>
      <c r="F40" s="14" t="inlineStr">
        <is>
          <t>{2, 3}</t>
        </is>
      </c>
      <c r="G40" s="14" t="inlineStr">
        <is>
          <t>{2, 3, 4}</t>
        </is>
      </c>
      <c r="H40" s="14" t="inlineStr">
        <is>
          <t>{1, 2, 3, 4}</t>
        </is>
      </c>
      <c r="I40" s="15" t="inlineStr">
        <is>
          <t>B</t>
        </is>
      </c>
      <c r="J40" s="16" t="inlineStr">
        <is>
          <t>The intersection of two sets is the set of elements common to both.</t>
        </is>
      </c>
    </row>
    <row r="41" ht="42" customHeight="1">
      <c r="A41" s="12" t="n">
        <v>39</v>
      </c>
      <c r="B41" s="12" t="inlineStr">
        <is>
          <t>Medium</t>
        </is>
      </c>
      <c r="C41" s="14" t="inlineStr">
        <is>
          <t>Operations on Sets (union, intersection, difference)</t>
        </is>
      </c>
      <c r="D41" s="14" t="inlineStr">
        <is>
          <t>If U = {a, b, c, d}, A = {a, b} and B = {b, c}. Find A ∪ B</t>
        </is>
      </c>
      <c r="E41" s="14" t="inlineStr">
        <is>
          <t>{a, b, c}</t>
        </is>
      </c>
      <c r="F41" s="14" t="inlineStr">
        <is>
          <t>{a, b, d}</t>
        </is>
      </c>
      <c r="G41" s="14" t="inlineStr">
        <is>
          <t>{a, c, d}</t>
        </is>
      </c>
      <c r="H41" s="14" t="inlineStr">
        <is>
          <t>{a, b, c, d}</t>
        </is>
      </c>
      <c r="I41" s="15" t="inlineStr">
        <is>
          <t>A</t>
        </is>
      </c>
      <c r="J41" s="16" t="inlineStr">
        <is>
          <t>The union of two sets is the set of elements in either or both.</t>
        </is>
      </c>
    </row>
    <row r="42" ht="42" customHeight="1">
      <c r="A42" s="12" t="n">
        <v>40</v>
      </c>
      <c r="B42" s="12" t="inlineStr">
        <is>
          <t>Medium</t>
        </is>
      </c>
      <c r="C42" s="14" t="inlineStr">
        <is>
          <t>Operations on Sets (union, intersection, difference)</t>
        </is>
      </c>
      <c r="D42" s="14" t="inlineStr">
        <is>
          <t>If A = {1, 2} and B = {2, 3}, find A - B</t>
        </is>
      </c>
      <c r="E42" s="14" t="inlineStr">
        <is>
          <t>{1}</t>
        </is>
      </c>
      <c r="F42" s="14" t="inlineStr">
        <is>
          <t>{1, 3}</t>
        </is>
      </c>
      <c r="G42" s="14" t="inlineStr">
        <is>
          <t>{1, 2}</t>
        </is>
      </c>
      <c r="H42" s="14" t="inlineStr">
        <is>
          <t>{}</t>
        </is>
      </c>
      <c r="I42" s="15" t="inlineStr">
        <is>
          <t>A</t>
        </is>
      </c>
      <c r="J42" s="16" t="inlineStr">
        <is>
          <t>The difference of two sets is the set of elements in the first but not the second.</t>
        </is>
      </c>
    </row>
    <row r="43" ht="42" customHeight="1">
      <c r="A43" s="12" t="n">
        <v>41</v>
      </c>
      <c r="B43" s="12" t="inlineStr">
        <is>
          <t>Medium</t>
        </is>
      </c>
      <c r="C43" s="14" t="inlineStr">
        <is>
          <t>Complement of Sets</t>
        </is>
      </c>
      <c r="D43" s="14" t="inlineStr">
        <is>
          <t>If A and B are subsets of a universal set U such that</t>
        </is>
      </c>
      <c r="E43" s="14" t="inlineStr">
        <is>
          <t>A</t>
        </is>
      </c>
      <c r="F43" s="14">
        <f> 15,</f>
        <v/>
      </c>
      <c r="G43" s="14" t="inlineStr">
        <is>
          <t>B</t>
        </is>
      </c>
      <c r="H43" s="14">
        <f> 20, and</f>
        <v/>
      </c>
      <c r="I43" s="15" t="inlineStr">
        <is>
          <t>A</t>
        </is>
      </c>
      <c r="J43" s="16">
        <f> 5, find</f>
        <v/>
      </c>
    </row>
    <row r="44" ht="42" customHeight="1">
      <c r="A44" s="12" t="n">
        <v>42</v>
      </c>
      <c r="B44" s="12" t="inlineStr">
        <is>
          <t>Medium</t>
        </is>
      </c>
      <c r="C44" s="14" t="inlineStr">
        <is>
          <t>Complement of Sets</t>
        </is>
      </c>
      <c r="D44" s="14" t="inlineStr">
        <is>
          <t>Let A and B be subsets of a universal set U. If</t>
        </is>
      </c>
      <c r="E44" s="14" t="inlineStr">
        <is>
          <t>A^c ∩ B^c</t>
        </is>
      </c>
      <c r="F44" s="14">
        <f> 3,</f>
        <v/>
      </c>
      <c r="G44" s="14" t="inlineStr">
        <is>
          <t>A^c</t>
        </is>
      </c>
      <c r="H44" s="14">
        <f> 7, and</f>
        <v/>
      </c>
      <c r="I44" s="15" t="inlineStr">
        <is>
          <t>B</t>
        </is>
      </c>
      <c r="J44" s="16">
        <f> 9, find</f>
        <v/>
      </c>
    </row>
    <row r="45" ht="42" customHeight="1">
      <c r="A45" s="12" t="n">
        <v>43</v>
      </c>
      <c r="B45" s="12" t="inlineStr">
        <is>
          <t>Medium</t>
        </is>
      </c>
      <c r="C45" s="14" t="inlineStr">
        <is>
          <t>Basic Set Concepts (elements, subsets, types of sets)</t>
        </is>
      </c>
      <c r="D45" s="14" t="inlineStr">
        <is>
          <t>Let U be the universal set containing all integers. Which of the following is a subset of U?</t>
        </is>
      </c>
      <c r="E45" s="14" t="inlineStr">
        <is>
          <t>All prime numbers</t>
        </is>
      </c>
      <c r="F45" s="14" t="inlineStr">
        <is>
          <t>All even numbers</t>
        </is>
      </c>
      <c r="G45" s="14" t="inlineStr">
        <is>
          <t>All odd numbers</t>
        </is>
      </c>
      <c r="H45" s="14" t="inlineStr">
        <is>
          <t>All integers</t>
        </is>
      </c>
      <c r="I45" s="15" t="inlineStr">
        <is>
          <t>A</t>
        </is>
      </c>
      <c r="J45" s="16" t="inlineStr">
        <is>
          <t>Subset of universal set contains all prime numbers.</t>
        </is>
      </c>
    </row>
    <row r="46" ht="42" customHeight="1">
      <c r="A46" s="12" t="n">
        <v>44</v>
      </c>
      <c r="B46" s="12" t="inlineStr">
        <is>
          <t>Medium</t>
        </is>
      </c>
      <c r="C46" s="14" t="inlineStr">
        <is>
          <t>Basic Set Concepts (elements, subsets, types of sets)</t>
        </is>
      </c>
      <c r="D46" s="14" t="inlineStr">
        <is>
          <t>If A = {1, 2, 3} and B = {2, 4}, what is the union of sets A and B?</t>
        </is>
      </c>
      <c r="E46" s="14" t="inlineStr">
        <is>
          <t>{1, 2, 3, 4}</t>
        </is>
      </c>
      <c r="F46" s="14" t="inlineStr">
        <is>
          <t>{1, 2, 3, 4, 5}</t>
        </is>
      </c>
      <c r="G46" s="14" t="inlineStr">
        <is>
          <t>{1, 2, 3, 4, 6}</t>
        </is>
      </c>
      <c r="H46" s="14" t="inlineStr">
        <is>
          <t>{1, 2, 3, 4, 5, 6}</t>
        </is>
      </c>
      <c r="I46" s="15" t="inlineStr">
        <is>
          <t>B</t>
        </is>
      </c>
      <c r="J46" s="16" t="inlineStr">
        <is>
          <t>Union of sets A and B contains all elements from both sets.</t>
        </is>
      </c>
    </row>
    <row r="47" ht="42" customHeight="1">
      <c r="A47" s="12" t="n">
        <v>45</v>
      </c>
      <c r="B47" s="12" t="inlineStr">
        <is>
          <t>Medium</t>
        </is>
      </c>
      <c r="C47" s="14" t="inlineStr">
        <is>
          <t>Basic Set Concepts (elements, subsets, types of sets)</t>
        </is>
      </c>
      <c r="D47" s="14" t="inlineStr">
        <is>
          <t>If A = {1, 2} and B = {2, 3}, what is the difference of set B from set A?</t>
        </is>
      </c>
      <c r="E47" s="14" t="inlineStr">
        <is>
          <t>{3}</t>
        </is>
      </c>
      <c r="F47" s="14" t="inlineStr">
        <is>
          <t>{2, 3}</t>
        </is>
      </c>
      <c r="G47" s="14" t="inlineStr">
        <is>
          <t>{1, 3}</t>
        </is>
      </c>
      <c r="H47" s="14" t="inlineStr">
        <is>
          <t>{1, 2, 3}</t>
        </is>
      </c>
      <c r="I47" s="15" t="inlineStr">
        <is>
          <t>D</t>
        </is>
      </c>
      <c r="J47" s="16" t="inlineStr">
        <is>
          <t>Difference of set B from set A contains all elements in set B that are not in set A.</t>
        </is>
      </c>
    </row>
    <row r="48" ht="42" customHeight="1">
      <c r="A48" s="12" t="n">
        <v>46</v>
      </c>
      <c r="B48" s="12" t="inlineStr">
        <is>
          <t>Medium</t>
        </is>
      </c>
      <c r="C48" s="14" t="inlineStr">
        <is>
          <t>Venn Diagram Problems (2 sets)</t>
        </is>
      </c>
      <c r="D48" s="14" t="inlineStr">
        <is>
          <t>Let U be the universal set, A and B be two non-empty subsets. If</t>
        </is>
      </c>
      <c r="E48" s="14" t="inlineStr">
        <is>
          <t>A ∩ B</t>
        </is>
      </c>
      <c r="F48" s="14">
        <f> 3,</f>
        <v/>
      </c>
      <c r="G48" s="14" t="inlineStr">
        <is>
          <t>A</t>
        </is>
      </c>
      <c r="H48" s="14">
        <f> 7, and</f>
        <v/>
      </c>
      <c r="I48" s="15" t="inlineStr">
        <is>
          <t>B</t>
        </is>
      </c>
      <c r="J48" s="16">
        <f> 9, find</f>
        <v/>
      </c>
    </row>
    <row r="49" ht="42" customHeight="1">
      <c r="A49" s="12" t="n">
        <v>47</v>
      </c>
      <c r="B49" s="12" t="inlineStr">
        <is>
          <t>Medium</t>
        </is>
      </c>
      <c r="C49" s="14" t="inlineStr">
        <is>
          <t>Venn Diagram Problems (2 sets)</t>
        </is>
      </c>
      <c r="D49" s="14" t="inlineStr">
        <is>
          <t>Let A and B be two non-empty subsets. If</t>
        </is>
      </c>
      <c r="E49" s="14" t="inlineStr">
        <is>
          <t>A ∪ B</t>
        </is>
      </c>
      <c r="F49" s="14">
        <f> 12,</f>
        <v/>
      </c>
      <c r="G49" s="14" t="inlineStr">
        <is>
          <t>A ∩ B</t>
        </is>
      </c>
      <c r="H49" s="14">
        <f> 3, and</f>
        <v/>
      </c>
      <c r="I49" s="15" t="inlineStr">
        <is>
          <t>A</t>
        </is>
      </c>
      <c r="J49" s="16">
        <f> 7, find</f>
        <v/>
      </c>
    </row>
    <row r="50" ht="42" customHeight="1">
      <c r="A50" s="12" t="n">
        <v>48</v>
      </c>
      <c r="B50" s="12" t="inlineStr">
        <is>
          <t>Medium</t>
        </is>
      </c>
      <c r="C50" s="14" t="inlineStr">
        <is>
          <t>Word Problems using Sets</t>
        </is>
      </c>
      <c r="D50" s="14" t="inlineStr">
        <is>
          <t>A bakery sells 250 loaves of bread daily. If they sell 2/3 as many whole wheat loaves as white loaves, how many whole wheat loaves are sold?</t>
        </is>
      </c>
      <c r="E50" s="14" t="inlineStr">
        <is>
          <t>50</t>
        </is>
      </c>
      <c r="F50" s="14" t="inlineStr">
        <is>
          <t>75</t>
        </is>
      </c>
      <c r="G50" s="14" t="inlineStr">
        <is>
          <t>100</t>
        </is>
      </c>
      <c r="H50" s="14" t="inlineStr">
        <is>
          <t>125</t>
        </is>
      </c>
      <c r="I50" s="15" t="inlineStr">
        <is>
          <t>B</t>
        </is>
      </c>
      <c r="J50" s="16" t="inlineStr">
        <is>
          <t>Let W be the number of white loaves and WW be the number of whole wheat loaves; then WW = (2/3)W → 250 - WW = W → W = 125 → WW = 2/3(125) = 83.</t>
        </is>
      </c>
    </row>
    <row r="51" ht="42" customHeight="1">
      <c r="A51" s="12" t="n">
        <v>49</v>
      </c>
      <c r="B51" s="12" t="inlineStr">
        <is>
          <t>Medium</t>
        </is>
      </c>
      <c r="C51" s="14" t="inlineStr">
        <is>
          <t>Word Problems using Sets</t>
        </is>
      </c>
      <c r="D51" s="14" t="inlineStr">
        <is>
          <t>A company has 300 employees, with 1/4 being engineers and 1/6 being managers. How many employees are neither engineers nor managers?</t>
        </is>
      </c>
      <c r="E51" s="14" t="inlineStr">
        <is>
          <t>50</t>
        </is>
      </c>
      <c r="F51" s="14" t="inlineStr">
        <is>
          <t>75</t>
        </is>
      </c>
      <c r="G51" s="14" t="inlineStr">
        <is>
          <t>100</t>
        </is>
      </c>
      <c r="H51" s="14" t="inlineStr">
        <is>
          <t>150</t>
        </is>
      </c>
      <c r="I51" s="15" t="inlineStr">
        <is>
          <t>D</t>
        </is>
      </c>
      <c r="J51" s="16" t="inlineStr">
        <is>
          <t>Let E be the number of engineers and M be the number of managers; then E = 0.25(300) = 75 and M = 0.1667(300) = 50 → Total non-engineers and non-managers = 300 - (E + M) = 100.</t>
        </is>
      </c>
    </row>
    <row r="52" ht="42" customHeight="1">
      <c r="A52" s="12" t="n">
        <v>50</v>
      </c>
      <c r="B52" s="12" t="inlineStr">
        <is>
          <t>Medium</t>
        </is>
      </c>
      <c r="C52" s="14" t="inlineStr">
        <is>
          <t>Word Problems using Sets</t>
        </is>
      </c>
      <c r="D52" s="14" t="inlineStr">
        <is>
          <t>A set S contains all integers from 1 to 20, inclusive. If T is the subset of even numbers in S, what is the cardinality of T?</t>
        </is>
      </c>
      <c r="E52" s="14" t="inlineStr">
        <is>
          <t>5</t>
        </is>
      </c>
      <c r="F52" s="14" t="inlineStr">
        <is>
          <t>10</t>
        </is>
      </c>
      <c r="G52" s="14" t="inlineStr">
        <is>
          <t>15</t>
        </is>
      </c>
      <c r="H52" s="14" t="inlineStr">
        <is>
          <t>20</t>
        </is>
      </c>
      <c r="I52" s="15" t="inlineStr">
        <is>
          <t>C</t>
        </is>
      </c>
      <c r="J52" s="16" t="inlineStr">
        <is>
          <t>T = {2,4,...,18,20} →</t>
        </is>
      </c>
    </row>
    <row r="53" ht="42" customHeight="1">
      <c r="A53" s="12" t="n">
        <v>51</v>
      </c>
      <c r="B53" s="12" t="inlineStr">
        <is>
          <t>Medium</t>
        </is>
      </c>
      <c r="C53" s="14" t="inlineStr">
        <is>
          <t>Word Problems using Sets</t>
        </is>
      </c>
      <c r="D53" s="14" t="inlineStr">
        <is>
          <t>A group of friends want to go to a concert. If 3/5 of them are going and 1/4 are already bought tickets, how many have not yet bought tickets?</t>
        </is>
      </c>
      <c r="E53" s="14" t="inlineStr">
        <is>
          <t>12</t>
        </is>
      </c>
      <c r="F53" s="14" t="inlineStr">
        <is>
          <t>15</t>
        </is>
      </c>
      <c r="G53" s="14" t="inlineStr">
        <is>
          <t>18</t>
        </is>
      </c>
      <c r="H53" s="14" t="inlineStr">
        <is>
          <t>21</t>
        </is>
      </c>
      <c r="I53" s="15" t="inlineStr">
        <is>
          <t>B</t>
        </is>
      </c>
      <c r="J53" s="16" t="inlineStr">
        <is>
          <t>Let F be the total number of friends; then (3/5)F = 0.6F are going → 0.4F have not yet bought tickets → 0.4F - (1/4)(0.6F) = 0.2F have not yet bought tickets.</t>
        </is>
      </c>
    </row>
    <row r="54" ht="42" customHeight="1">
      <c r="A54" s="12" t="n">
        <v>52</v>
      </c>
      <c r="B54" s="12" t="inlineStr">
        <is>
          <t>Medium</t>
        </is>
      </c>
      <c r="C54" s="14" t="inlineStr">
        <is>
          <t>Set Identities and Properties</t>
        </is>
      </c>
      <c r="D54" s="14" t="inlineStr">
        <is>
          <t>Let U be the universal set, A ∩ B ≠ ∅. Which of the following is true?</t>
        </is>
      </c>
      <c r="E54" s="14" t="inlineStr">
        <is>
          <t>A) A ⊆ U, B ⊆ U</t>
        </is>
      </c>
      <c r="F54" s="14" t="inlineStr">
        <is>
          <t>B) A ⊆ B, U ⊆ A</t>
        </is>
      </c>
      <c r="G54" s="14" t="inlineStr">
        <is>
          <t>C) A ⊆ U, B ⊆ U, U ⊆ A ∪ B</t>
        </is>
      </c>
      <c r="H54" s="14" t="inlineStr">
        <is>
          <t>D) A ⊆ B, B ⊆ A</t>
        </is>
      </c>
      <c r="I54" s="15" t="inlineStr">
        <is>
          <t>A</t>
        </is>
      </c>
      <c r="J54" s="16" t="inlineStr">
        <is>
          <t>From the given condition, we know that both sets have non-empty intersection with the universal set.</t>
        </is>
      </c>
    </row>
    <row r="55" ht="42" customHeight="1">
      <c r="A55" s="12" t="n">
        <v>53</v>
      </c>
      <c r="B55" s="12" t="inlineStr">
        <is>
          <t>Medium</t>
        </is>
      </c>
      <c r="C55" s="14" t="inlineStr">
        <is>
          <t>Set Identities and Properties</t>
        </is>
      </c>
      <c r="D55" s="14" t="inlineStr">
        <is>
          <t>If A and B are sets such that A ∩ B = {x}, then which of the following is true?</t>
        </is>
      </c>
      <c r="E55" s="14" t="inlineStr">
        <is>
          <t>A)</t>
        </is>
      </c>
      <c r="F55" s="14" t="inlineStr">
        <is>
          <t>A ∪ B</t>
        </is>
      </c>
      <c r="G55" s="14">
        <f> 2</f>
        <v/>
      </c>
      <c r="H55" s="14" t="inlineStr">
        <is>
          <t>B)</t>
        </is>
      </c>
      <c r="I55" s="15" t="inlineStr">
        <is>
          <t>A</t>
        </is>
      </c>
      <c r="J55" s="16">
        <f> 1</f>
        <v/>
      </c>
    </row>
    <row r="56" ht="42" customHeight="1">
      <c r="A56" s="12" t="n">
        <v>54</v>
      </c>
      <c r="B56" s="12" t="inlineStr">
        <is>
          <t>Medium</t>
        </is>
      </c>
      <c r="C56" s="14" t="inlineStr">
        <is>
          <t>Set Identities and Properties</t>
        </is>
      </c>
      <c r="D56" s="14" t="inlineStr">
        <is>
          <t>If A ⊆ B and C ⊆ D, then which of the following is true?</t>
        </is>
      </c>
      <c r="E56" s="14" t="inlineStr">
        <is>
          <t>A) (A ∩ C) ⊆ (B ∩ D)</t>
        </is>
      </c>
      <c r="F56" s="14" t="inlineStr">
        <is>
          <t>B) (A ∪ C) ⊆ (B ∪ D)</t>
        </is>
      </c>
      <c r="G56" s="14" t="inlineStr">
        <is>
          <t>C) (A ∩ C) ⊆ (D ∩ B)</t>
        </is>
      </c>
      <c r="H56" s="14" t="inlineStr">
        <is>
          <t>D) (A ∪ C) ⊆ (D ∩ B)</t>
        </is>
      </c>
      <c r="I56" s="15" t="inlineStr">
        <is>
          <t>A</t>
        </is>
      </c>
      <c r="J56" s="16" t="inlineStr">
        <is>
          <t>The given conditions imply that A and C are subsets of B and D respectively, so their intersection is also a subset of the intersection of B and D.</t>
        </is>
      </c>
    </row>
    <row r="57" ht="42" customHeight="1">
      <c r="A57" s="12" t="n">
        <v>55</v>
      </c>
      <c r="B57" s="12" t="inlineStr">
        <is>
          <t>Medium</t>
        </is>
      </c>
      <c r="C57" s="14" t="inlineStr">
        <is>
          <t>Set Identities and Properties</t>
        </is>
      </c>
      <c r="D57" s="14" t="inlineStr">
        <is>
          <t>Let A and B be sets such that</t>
        </is>
      </c>
      <c r="E57" s="14" t="inlineStr">
        <is>
          <t>A</t>
        </is>
      </c>
      <c r="F57" s="14">
        <f> 5 and</f>
        <v/>
      </c>
      <c r="G57" s="14" t="inlineStr">
        <is>
          <t>B</t>
        </is>
      </c>
      <c r="H57" s="14">
        <f> 3. Which of the following could be true?</f>
        <v/>
      </c>
      <c r="I57" s="15" t="inlineStr">
        <is>
          <t>A</t>
        </is>
      </c>
      <c r="J57" s="16" t="inlineStr">
        <is>
          <t>A ∩ B</t>
        </is>
      </c>
    </row>
    <row r="58" ht="42" customHeight="1">
      <c r="A58" s="12" t="n">
        <v>56</v>
      </c>
      <c r="B58" s="12" t="inlineStr">
        <is>
          <t>Medium</t>
        </is>
      </c>
      <c r="C58" s="14" t="inlineStr">
        <is>
          <t>Application-based Set Theory Problems</t>
        </is>
      </c>
      <c r="D58" s="14" t="inlineStr">
        <is>
          <t>Let A and B be two sets such that</t>
        </is>
      </c>
      <c r="E58" s="14" t="inlineStr">
        <is>
          <t>A</t>
        </is>
      </c>
      <c r="F58" s="14">
        <f>10,</f>
        <v/>
      </c>
      <c r="G58" s="14" t="inlineStr">
        <is>
          <t>B</t>
        </is>
      </c>
      <c r="H58" s="14">
        <f>8, and</f>
        <v/>
      </c>
      <c r="I58" s="15" t="inlineStr">
        <is>
          <t>A</t>
        </is>
      </c>
      <c r="J58" s="16">
        <f>4. Find</f>
        <v/>
      </c>
    </row>
    <row r="59" ht="42" customHeight="1">
      <c r="A59" s="12" t="n">
        <v>57</v>
      </c>
      <c r="B59" s="12" t="inlineStr">
        <is>
          <t>Medium</t>
        </is>
      </c>
      <c r="C59" s="14" t="inlineStr">
        <is>
          <t>De Morgan’s Laws</t>
        </is>
      </c>
      <c r="D59" s="14" t="inlineStr">
        <is>
          <t>Let U be the universal set, A and B be sets. If A ∩ B' = φ and A' ∩ B = φ, then which of the following is true?</t>
        </is>
      </c>
      <c r="E59" s="14" t="inlineStr">
        <is>
          <t>A'</t>
        </is>
      </c>
      <c r="F59" s="14" t="inlineStr">
        <is>
          <t>B' are disjoint sets</t>
        </is>
      </c>
      <c r="G59" s="14" t="inlineStr">
        <is>
          <t>A and B are disjoint sets</t>
        </is>
      </c>
      <c r="H59" s="14" t="inlineStr">
        <is>
          <t>U = A ∪ B</t>
        </is>
      </c>
      <c r="I59" s="15" t="inlineStr">
        <is>
          <t>A</t>
        </is>
      </c>
      <c r="J59" s="16" t="inlineStr">
        <is>
          <t>D</t>
        </is>
      </c>
    </row>
    <row r="60" ht="42" customHeight="1">
      <c r="A60" s="12" t="n">
        <v>58</v>
      </c>
      <c r="B60" s="12" t="inlineStr">
        <is>
          <t>Medium</t>
        </is>
      </c>
      <c r="C60" s="14" t="inlineStr">
        <is>
          <t>De Morgan’s Laws</t>
        </is>
      </c>
      <c r="D60" s="14" t="inlineStr">
        <is>
          <t>(P ∩ Q)' and (P' ∩ Q')' are equal to which of the following?</t>
        </is>
      </c>
      <c r="E60" s="14" t="inlineStr">
        <is>
          <t>P ∪ Q'</t>
        </is>
      </c>
      <c r="F60" s="14" t="inlineStr">
        <is>
          <t>P ∩ Q'</t>
        </is>
      </c>
      <c r="G60" s="14" t="inlineStr">
        <is>
          <t>(P ∪ Q)'</t>
        </is>
      </c>
      <c r="H60" s="14" t="inlineStr">
        <is>
          <t>P' ∪ Q'</t>
        </is>
      </c>
      <c r="I60" s="15" t="inlineStr">
        <is>
          <t>B</t>
        </is>
      </c>
      <c r="J60" s="16" t="inlineStr">
        <is>
          <t>(By De Morgan's laws, (P ∩ Q)' = P' ∪ Q', so (P ∩ Q)' and (P' ∩ Q')' are equal to (P' ∪ Q')'.</t>
        </is>
      </c>
    </row>
    <row r="61" ht="42" customHeight="1">
      <c r="A61" s="12" t="n">
        <v>59</v>
      </c>
      <c r="B61" s="12" t="inlineStr">
        <is>
          <t>Medium</t>
        </is>
      </c>
      <c r="C61" s="14" t="inlineStr">
        <is>
          <t>De Morgan’s Laws</t>
        </is>
      </c>
      <c r="D61" s="14" t="inlineStr">
        <is>
          <t>If A and B are sets such that A ∩ B = φ and A ∪ B = U, then which of the following is true?</t>
        </is>
      </c>
      <c r="E61" s="14" t="inlineStr">
        <is>
          <t>A' ∪ B'</t>
        </is>
      </c>
      <c r="F61" s="14" t="inlineStr">
        <is>
          <t>A ∪ B</t>
        </is>
      </c>
      <c r="G61" s="14" t="inlineStr">
        <is>
          <t>U'</t>
        </is>
      </c>
      <c r="H61" s="14" t="inlineStr">
        <is>
          <t>A'</t>
        </is>
      </c>
      <c r="I61" s="15" t="inlineStr">
        <is>
          <t>D</t>
        </is>
      </c>
      <c r="J61" s="16" t="inlineStr">
        <is>
          <t>(Since A ∩ B = φ, we have A' ∪ B' = U, so A' ∪ B' = U.)</t>
        </is>
      </c>
    </row>
    <row r="62" ht="42" customHeight="1">
      <c r="A62" s="12" t="n">
        <v>60</v>
      </c>
      <c r="B62" s="12" t="inlineStr">
        <is>
          <t>Medium</t>
        </is>
      </c>
      <c r="C62" s="14" t="inlineStr">
        <is>
          <t>De Morgan’s Laws</t>
        </is>
      </c>
      <c r="D62" s="14" t="inlineStr">
        <is>
          <t>(P ∪ Q)' and (P' ∪ Q')' are equal to which of the following?</t>
        </is>
      </c>
      <c r="E62" s="14" t="inlineStr">
        <is>
          <t>P ∩ Q'</t>
        </is>
      </c>
      <c r="F62" s="14" t="inlineStr">
        <is>
          <t>P' ∩ Q'</t>
        </is>
      </c>
      <c r="G62" s="14" t="inlineStr">
        <is>
          <t>(P ∩ Q)'</t>
        </is>
      </c>
      <c r="H62" s="14" t="inlineStr">
        <is>
          <t>P ∪ Q'</t>
        </is>
      </c>
      <c r="I62" s="15" t="inlineStr">
        <is>
          <t>A</t>
        </is>
      </c>
      <c r="J62" s="16" t="inlineStr">
        <is>
          <t>(By De Morgan's laws, (P ∪ Q)' = P' ∧ Q', so (P ∪ Q)' and (P' ∪ Q')' are equal to P' ∧ Q'.)</t>
        </is>
      </c>
    </row>
    <row r="63" ht="42" customHeight="1">
      <c r="A63" s="12" t="n">
        <v>61</v>
      </c>
      <c r="B63" s="12" t="inlineStr">
        <is>
          <t>Medium</t>
        </is>
      </c>
      <c r="C63" s="14" t="inlineStr">
        <is>
          <t>Cardinality of Sets</t>
        </is>
      </c>
      <c r="D63" s="14" t="inlineStr">
        <is>
          <t>Let A and B be finite sets. If</t>
        </is>
      </c>
      <c r="E63" s="14" t="inlineStr">
        <is>
          <t>A</t>
        </is>
      </c>
      <c r="F63" s="14">
        <f> 5 and</f>
        <v/>
      </c>
      <c r="G63" s="14" t="inlineStr">
        <is>
          <t>B</t>
        </is>
      </c>
      <c r="H63" s="14">
        <f> 3, which of the following is true?</f>
        <v/>
      </c>
      <c r="I63" s="15" t="inlineStr">
        <is>
          <t>A</t>
        </is>
      </c>
      <c r="J63" s="16" t="inlineStr">
        <is>
          <t>A ∪ B</t>
        </is>
      </c>
    </row>
    <row r="64" ht="42" customHeight="1">
      <c r="A64" s="12" t="n">
        <v>62</v>
      </c>
      <c r="B64" s="12" t="inlineStr">
        <is>
          <t>Medium</t>
        </is>
      </c>
      <c r="C64" s="14" t="inlineStr">
        <is>
          <t>Cardinality of Sets</t>
        </is>
      </c>
      <c r="D64" s="14" t="inlineStr">
        <is>
          <t>If A and B are sets such that</t>
        </is>
      </c>
      <c r="E64" s="14" t="inlineStr">
        <is>
          <t>A</t>
        </is>
      </c>
      <c r="F64" s="14">
        <f> 2n and</f>
        <v/>
      </c>
      <c r="G64" s="14" t="inlineStr">
        <is>
          <t>B</t>
        </is>
      </c>
      <c r="H64" s="14">
        <f> n, where n is a positive integer, what can be concluded about</f>
        <v/>
      </c>
      <c r="I64" s="15" t="inlineStr">
        <is>
          <t>A</t>
        </is>
      </c>
      <c r="J64" s="16" t="inlineStr">
        <is>
          <t>A)</t>
        </is>
      </c>
    </row>
    <row r="65" ht="42" customHeight="1">
      <c r="A65" s="12" t="n">
        <v>63</v>
      </c>
      <c r="B65" s="12" t="inlineStr">
        <is>
          <t>Medium</t>
        </is>
      </c>
      <c r="C65" s="14" t="inlineStr">
        <is>
          <t>Cardinality of Sets</t>
        </is>
      </c>
      <c r="D65" s="14" t="inlineStr">
        <is>
          <t>If A, B, and C are sets such that</t>
        </is>
      </c>
      <c r="E65" s="14" t="inlineStr">
        <is>
          <t>A</t>
        </is>
      </c>
      <c r="F65" s="14">
        <f> 2n,</f>
        <v/>
      </c>
      <c r="G65" s="14" t="inlineStr">
        <is>
          <t>B</t>
        </is>
      </c>
      <c r="H65" s="14">
        <f> n, and</f>
        <v/>
      </c>
      <c r="I65" s="15" t="inlineStr">
        <is>
          <t>C</t>
        </is>
      </c>
      <c r="J65" s="16">
        <f> m, where n and m are positive integers, what can be concluded about</f>
        <v/>
      </c>
    </row>
    <row r="66" ht="42" customHeight="1">
      <c r="A66" s="12" t="n">
        <v>64</v>
      </c>
      <c r="B66" s="12" t="inlineStr">
        <is>
          <t>Medium</t>
        </is>
      </c>
      <c r="C66" s="14" t="inlineStr">
        <is>
          <t>Venn Diagram Problems (3 sets)</t>
        </is>
      </c>
      <c r="D66" s="14" t="inlineStr">
        <is>
          <t>In a survey, 30% of respondents like coffee, 40% like tea, and 20% like both. Find the number of people who like only one beverage.</t>
        </is>
      </c>
      <c r="E66" s="14" t="inlineStr">
        <is>
          <t>60</t>
        </is>
      </c>
      <c r="F66" s="14" t="inlineStr">
        <is>
          <t>70</t>
        </is>
      </c>
      <c r="G66" s="14" t="inlineStr">
        <is>
          <t>80</t>
        </is>
      </c>
      <c r="H66" s="14" t="inlineStr">
        <is>
          <t>90</t>
        </is>
      </c>
      <c r="I66" s="15" t="inlineStr">
        <is>
          <t>A</t>
        </is>
      </c>
      <c r="J66" s="16" t="inlineStr">
        <is>
          <t>Use Venn diagram to represent sets and find union.</t>
        </is>
      </c>
    </row>
    <row r="67" ht="42" customHeight="1">
      <c r="A67" s="12" t="n">
        <v>65</v>
      </c>
      <c r="B67" s="12" t="inlineStr">
        <is>
          <t>Medium</t>
        </is>
      </c>
      <c r="C67" s="14" t="inlineStr">
        <is>
          <t>Venn Diagram Problems (3 sets)</t>
        </is>
      </c>
      <c r="D67" s="14" t="inlineStr">
        <is>
          <t>In a class, 20 students like reading, 15 students like writing, and 5 students like both. Find the number of students who like at least one activity.</t>
        </is>
      </c>
      <c r="E67" s="14" t="inlineStr">
        <is>
          <t>35</t>
        </is>
      </c>
      <c r="F67" s="14" t="inlineStr">
        <is>
          <t>40</t>
        </is>
      </c>
      <c r="G67" s="14" t="inlineStr">
        <is>
          <t>45</t>
        </is>
      </c>
      <c r="H67" s="14" t="inlineStr">
        <is>
          <t>50</t>
        </is>
      </c>
      <c r="I67" s="15" t="inlineStr">
        <is>
          <t>A</t>
        </is>
      </c>
      <c r="J67" s="16" t="inlineStr">
        <is>
          <t>Use Venn diagram to represent sets and find union.</t>
        </is>
      </c>
    </row>
    <row r="68" ht="42" customHeight="1">
      <c r="A68" s="12" t="n">
        <v>66</v>
      </c>
      <c r="B68" s="12" t="inlineStr">
        <is>
          <t>Medium</t>
        </is>
      </c>
      <c r="C68" s="14" t="inlineStr">
        <is>
          <t>Operations on Sets (union, intersection, difference)</t>
        </is>
      </c>
      <c r="D68" s="14" t="inlineStr">
        <is>
          <t>Let U = {1, 2, 3, 4} and A = {1, 3}. Find A ∩ U.</t>
        </is>
      </c>
      <c r="E68" s="14" t="inlineStr">
        <is>
          <t>{1, 3}</t>
        </is>
      </c>
      <c r="F68" s="14" t="inlineStr">
        <is>
          <t>{1, 2, 3}</t>
        </is>
      </c>
      <c r="G68" s="14" t="inlineStr">
        <is>
          <t>{1, 2, 3, 4}</t>
        </is>
      </c>
      <c r="H68" s="14" t="inlineStr">
        <is>
          <t>{1, 3, 4}</t>
        </is>
      </c>
      <c r="I68" s="15" t="inlineStr">
        <is>
          <t>A</t>
        </is>
      </c>
      <c r="J68" s="16" t="inlineStr">
        <is>
          <t>The intersection of sets is the set of elements common to both sets.</t>
        </is>
      </c>
    </row>
    <row r="69" ht="42" customHeight="1">
      <c r="A69" s="12" t="n">
        <v>67</v>
      </c>
      <c r="B69" s="12" t="inlineStr">
        <is>
          <t>Medium</t>
        </is>
      </c>
      <c r="C69" s="14" t="inlineStr">
        <is>
          <t>Operations on Sets (union, intersection, difference)</t>
        </is>
      </c>
      <c r="D69" s="14" t="inlineStr">
        <is>
          <t>If A ∪ B = {1, 2, 3, 4, 5} and A ∩ B = {1, 2}, find B.</t>
        </is>
      </c>
      <c r="E69" s="14" t="inlineStr">
        <is>
          <t>{1, 2, 3, 4, 5}</t>
        </is>
      </c>
      <c r="F69" s="14" t="inlineStr">
        <is>
          <t>{1, 2, 3, 4, 5, 6}</t>
        </is>
      </c>
      <c r="G69" s="14" t="inlineStr">
        <is>
          <t>{1, 2, 3, 4, 5, 6, 7}</t>
        </is>
      </c>
      <c r="H69" s="14" t="inlineStr">
        <is>
          <t>{1, 2, 3, 4, 5, 6, 7, 8}</t>
        </is>
      </c>
      <c r="I69" s="15" t="inlineStr">
        <is>
          <t>D</t>
        </is>
      </c>
      <c r="J69" s="16" t="inlineStr">
        <is>
          <t>Find the difference of sets to get B.</t>
        </is>
      </c>
    </row>
    <row r="70" ht="42" customHeight="1">
      <c r="A70" s="12" t="n">
        <v>68</v>
      </c>
      <c r="B70" s="12" t="inlineStr">
        <is>
          <t>Medium</t>
        </is>
      </c>
      <c r="C70" s="14" t="inlineStr">
        <is>
          <t>Operations on Sets (union, intersection, difference)</t>
        </is>
      </c>
      <c r="D70" s="14" t="inlineStr">
        <is>
          <t>If A = {1, 2, 3} and B = {2, 3, 4}, find A ∪ B - (A ∩ B).</t>
        </is>
      </c>
      <c r="E70" s="14" t="inlineStr">
        <is>
          <t>{1, 2, 3, 4}</t>
        </is>
      </c>
      <c r="F70" s="14" t="inlineStr">
        <is>
          <t>{1, 2, 3, 5}</t>
        </is>
      </c>
      <c r="G70" s="14" t="inlineStr">
        <is>
          <t>{1, 2, 3, 4, 5, 6}</t>
        </is>
      </c>
      <c r="H70" s="14" t="inlineStr">
        <is>
          <t>{1, 2, 3, 4, 5, 6, 7}</t>
        </is>
      </c>
      <c r="I70" s="15" t="inlineStr">
        <is>
          <t>D</t>
        </is>
      </c>
      <c r="J70" s="16" t="inlineStr">
        <is>
          <t>Find the union and intersection of sets to get the required result.</t>
        </is>
      </c>
    </row>
    <row r="71" ht="42" customHeight="1">
      <c r="A71" s="12" t="n">
        <v>69</v>
      </c>
      <c r="B71" s="12" t="inlineStr">
        <is>
          <t>Medium</t>
        </is>
      </c>
      <c r="C71" s="14" t="inlineStr">
        <is>
          <t>Complement of Sets</t>
        </is>
      </c>
      <c r="D71" s="14" t="inlineStr">
        <is>
          <t>If A and B are subsets of a universal set U such that</t>
        </is>
      </c>
      <c r="E71" s="14" t="inlineStr">
        <is>
          <t>A</t>
        </is>
      </c>
      <c r="F71" s="14">
        <f> 15,</f>
        <v/>
      </c>
      <c r="G71" s="14" t="inlineStr">
        <is>
          <t>B</t>
        </is>
      </c>
      <c r="H71" s="14">
        <f> 20, and</f>
        <v/>
      </c>
      <c r="I71" s="15" t="inlineStr">
        <is>
          <t>A</t>
        </is>
      </c>
      <c r="J71" s="16">
        <f> 5, find</f>
        <v/>
      </c>
    </row>
    <row r="72" ht="42" customHeight="1">
      <c r="A72" s="12" t="n">
        <v>70</v>
      </c>
      <c r="B72" s="12" t="inlineStr">
        <is>
          <t>Medium</t>
        </is>
      </c>
      <c r="C72" s="14" t="inlineStr">
        <is>
          <t>Basic Set Concepts (elements, subsets, types of sets)</t>
        </is>
      </c>
      <c r="D72" s="14" t="inlineStr">
        <is>
          <t>Let U be the universal set containing all integers. Which of the following is a subset of U?</t>
        </is>
      </c>
      <c r="E72" s="14" t="inlineStr">
        <is>
          <t>All prime numbers</t>
        </is>
      </c>
      <c r="F72" s="14" t="inlineStr">
        <is>
          <t>All even numbers</t>
        </is>
      </c>
      <c r="G72" s="14" t="inlineStr">
        <is>
          <t>All odd numbers</t>
        </is>
      </c>
      <c r="H72" s="14" t="inlineStr">
        <is>
          <t>All rational numbers</t>
        </is>
      </c>
      <c r="I72" s="15" t="inlineStr">
        <is>
          <t>A</t>
        </is>
      </c>
      <c r="J72" s="16" t="inlineStr">
        <is>
          <t>The correct answer is All integers.</t>
        </is>
      </c>
    </row>
    <row r="73" ht="42" customHeight="1">
      <c r="A73" s="12" t="n">
        <v>71</v>
      </c>
      <c r="B73" s="12" t="inlineStr">
        <is>
          <t>Medium</t>
        </is>
      </c>
      <c r="C73" s="14" t="inlineStr">
        <is>
          <t>Basic Set Concepts (elements, subsets, types of sets)</t>
        </is>
      </c>
      <c r="D73" s="14" t="inlineStr">
        <is>
          <t>If A and B are two sets such that A ∩ B = {x}, then which of the following statements is true?</t>
        </is>
      </c>
      <c r="E73" s="14" t="inlineStr">
        <is>
          <t>A ⊆ B</t>
        </is>
      </c>
      <c r="F73" s="14" t="inlineStr">
        <is>
          <t>B ⊆ A</t>
        </is>
      </c>
      <c r="G73" s="14" t="inlineStr">
        <is>
          <t>A = B</t>
        </is>
      </c>
      <c r="H73" s="14" t="inlineStr">
        <is>
          <t>A ∩ B = φ</t>
        </is>
      </c>
      <c r="I73" s="15" t="inlineStr">
        <is>
          <t>D</t>
        </is>
      </c>
      <c r="J73" s="16" t="inlineStr">
        <is>
          <t>The correct answer is A ∩ B = φ.</t>
        </is>
      </c>
    </row>
    <row r="74" ht="42" customHeight="1">
      <c r="A74" s="12" t="n">
        <v>72</v>
      </c>
      <c r="B74" s="12" t="inlineStr">
        <is>
          <t>Medium</t>
        </is>
      </c>
      <c r="C74" s="14" t="inlineStr">
        <is>
          <t>Basic Set Concepts (elements, subsets, types of sets)</t>
        </is>
      </c>
      <c r="D74" s="14" t="inlineStr">
        <is>
          <t>Let S be a set containing all students in a class. Which of the following statements is true?</t>
        </is>
      </c>
      <c r="E74" s="14" t="inlineStr">
        <is>
          <t>S is finite</t>
        </is>
      </c>
      <c r="F74" s="14" t="inlineStr">
        <is>
          <t>S is infinite</t>
        </is>
      </c>
      <c r="G74" s="14" t="inlineStr">
        <is>
          <t>S is countable</t>
        </is>
      </c>
      <c r="H74" s="14" t="inlineStr">
        <is>
          <t>S is uncountable</t>
        </is>
      </c>
      <c r="I74" s="15" t="inlineStr">
        <is>
          <t>C</t>
        </is>
      </c>
      <c r="J74" s="16" t="inlineStr">
        <is>
          <t>The correct answer is S is countable.</t>
        </is>
      </c>
    </row>
    <row r="75" ht="42" customHeight="1">
      <c r="A75" s="12" t="n">
        <v>73</v>
      </c>
      <c r="B75" s="12" t="inlineStr">
        <is>
          <t>Medium</t>
        </is>
      </c>
      <c r="C75" s="14" t="inlineStr">
        <is>
          <t>Basic Set Concepts (elements, subsets, types of sets)</t>
        </is>
      </c>
      <c r="D75" s="14" t="inlineStr">
        <is>
          <t>If A and B are two sets such that A ⊆ B, then which of the following statements is true?</t>
        </is>
      </c>
      <c r="E75" s="14" t="inlineStr">
        <is>
          <t>A ∩ B = φ</t>
        </is>
      </c>
      <c r="F75" s="14" t="inlineStr">
        <is>
          <t>A ∪ B = U</t>
        </is>
      </c>
      <c r="G75" s="14" t="inlineStr">
        <is>
          <t>A ⊆ B</t>
        </is>
      </c>
      <c r="H75" s="14" t="inlineStr">
        <is>
          <t>B ⊆ A</t>
        </is>
      </c>
      <c r="I75" s="15" t="inlineStr">
        <is>
          <t>C</t>
        </is>
      </c>
      <c r="J75" s="16" t="inlineStr">
        <is>
          <t>The correct answer is A ⊆ B.</t>
        </is>
      </c>
    </row>
    <row r="76" ht="42" customHeight="1">
      <c r="A76" s="12" t="n">
        <v>74</v>
      </c>
      <c r="B76" s="12" t="inlineStr">
        <is>
          <t>Medium</t>
        </is>
      </c>
      <c r="C76" s="14" t="inlineStr">
        <is>
          <t>Venn Diagram Problems (2 sets)</t>
        </is>
      </c>
      <c r="D76" s="14" t="inlineStr">
        <is>
          <t>In a college, the students who have taken computer science are represented by set A and those who have taken statistics are represented by set B. If</t>
        </is>
      </c>
      <c r="E76" s="14" t="inlineStr">
        <is>
          <t>A ∩ B</t>
        </is>
      </c>
      <c r="F76" s="14">
        <f> 10,</f>
        <v/>
      </c>
      <c r="G76" s="14" t="inlineStr">
        <is>
          <t>A</t>
        </is>
      </c>
      <c r="H76" s="14">
        <f> 30, and</f>
        <v/>
      </c>
      <c r="I76" s="15" t="inlineStr">
        <is>
          <t>B</t>
        </is>
      </c>
      <c r="J76" s="16">
        <f> 25, find</f>
        <v/>
      </c>
    </row>
    <row r="77" ht="42" customHeight="1">
      <c r="A77" s="12" t="n">
        <v>75</v>
      </c>
      <c r="B77" s="12" t="inlineStr">
        <is>
          <t>Medium</t>
        </is>
      </c>
      <c r="C77" s="14" t="inlineStr">
        <is>
          <t>Venn Diagram Problems (2 sets)</t>
        </is>
      </c>
      <c r="D77" s="14" t="inlineStr">
        <is>
          <t>In a school, the students who have taken English are represented by set A and those who have taken French are represented by set B. If</t>
        </is>
      </c>
      <c r="E77" s="14" t="inlineStr">
        <is>
          <t>A ∪ B</t>
        </is>
      </c>
      <c r="F77" s="14">
        <f> 40,</f>
        <v/>
      </c>
      <c r="G77" s="14" t="inlineStr">
        <is>
          <t>A</t>
        </is>
      </c>
      <c r="H77" s="14">
        <f> 20, and</f>
        <v/>
      </c>
      <c r="I77" s="15" t="inlineStr">
        <is>
          <t>B</t>
        </is>
      </c>
      <c r="J77" s="16">
        <f> 25, find</f>
        <v/>
      </c>
    </row>
    <row r="78" ht="42" customHeight="1">
      <c r="A78" s="12" t="n">
        <v>76</v>
      </c>
      <c r="B78" s="12" t="inlineStr">
        <is>
          <t>Medium</t>
        </is>
      </c>
      <c r="C78" s="14" t="inlineStr">
        <is>
          <t>Word Problems using Sets</t>
        </is>
      </c>
      <c r="D78" s="14" t="inlineStr">
        <is>
          <t>A bakery offers two types of cookies, chocolate and vanilla. If 1/3 of the cookies sold are chocolate and 2/5 of the cookies sold are vanilla, what fraction of the total cookies sold are neither chocolate nor vanilla?</t>
        </is>
      </c>
      <c r="E78" s="14" t="inlineStr">
        <is>
          <t>0</t>
        </is>
      </c>
      <c r="F78" s="14" t="inlineStr">
        <is>
          <t>1/15</t>
        </is>
      </c>
      <c r="G78" s="14" t="inlineStr">
        <is>
          <t>2/15</t>
        </is>
      </c>
      <c r="H78" s="14" t="inlineStr">
        <is>
          <t>7/15</t>
        </is>
      </c>
      <c r="I78" s="15" t="inlineStr">
        <is>
          <t>D</t>
        </is>
      </c>
      <c r="J78" s="16" t="inlineStr">
        <is>
          <t>Use Venn diagram to find the complement set.</t>
        </is>
      </c>
    </row>
    <row r="79" ht="42" customHeight="1">
      <c r="A79" s="12" t="n">
        <v>77</v>
      </c>
      <c r="B79" s="12" t="inlineStr">
        <is>
          <t>Medium</t>
        </is>
      </c>
      <c r="C79" s="14" t="inlineStr">
        <is>
          <t>Word Problems using Sets</t>
        </is>
      </c>
      <c r="D79" s="14" t="inlineStr">
        <is>
          <t>A company has two departments: A and B. Department A has 30 employees, while department B has 20 employees. If 3/5 of the employees in department A are also working in department B, what is the total number of employees who are only working in one department?</t>
        </is>
      </c>
      <c r="E79" s="14" t="inlineStr">
        <is>
          <t>10</t>
        </is>
      </c>
      <c r="F79" s="14" t="inlineStr">
        <is>
          <t>15</t>
        </is>
      </c>
      <c r="G79" s="14" t="inlineStr">
        <is>
          <t>25</t>
        </is>
      </c>
      <c r="H79" s="14" t="inlineStr">
        <is>
          <t>40</t>
        </is>
      </c>
      <c r="I79" s="15" t="inlineStr">
        <is>
          <t>C</t>
        </is>
      </c>
      <c r="J79" s="16" t="inlineStr">
        <is>
          <t>Use set operations to find the desired subset.</t>
        </is>
      </c>
    </row>
    <row r="80" ht="42" customHeight="1">
      <c r="A80" s="12" t="n">
        <v>78</v>
      </c>
      <c r="B80" s="12" t="inlineStr">
        <is>
          <t>Medium</t>
        </is>
      </c>
      <c r="C80" s="14" t="inlineStr">
        <is>
          <t>Word Problems using Sets</t>
        </is>
      </c>
      <c r="D80" s="14" t="inlineStr">
        <is>
          <t>A survey found that 3/4 of students like pizza and 2/3 of students like burgers. If 1/2 of the students like both, what is the total number of students who like only one type of food?</t>
        </is>
      </c>
      <c r="E80" s="14" t="inlineStr">
        <is>
          <t>15</t>
        </is>
      </c>
      <c r="F80" s="14" t="inlineStr">
        <is>
          <t>20</t>
        </is>
      </c>
      <c r="G80" s="14" t="inlineStr">
        <is>
          <t>30</t>
        </is>
      </c>
      <c r="H80" s="14" t="inlineStr">
        <is>
          <t>40</t>
        </is>
      </c>
      <c r="I80" s="15" t="inlineStr">
        <is>
          <t>B</t>
        </is>
      </c>
      <c r="J80" s="16" t="inlineStr">
        <is>
          <t>Use set operations to find the desired subset.</t>
        </is>
      </c>
    </row>
    <row r="81" ht="42" customHeight="1">
      <c r="A81" s="12" t="n">
        <v>79</v>
      </c>
      <c r="B81" s="12" t="inlineStr">
        <is>
          <t>Medium</t>
        </is>
      </c>
      <c r="C81" s="14" t="inlineStr">
        <is>
          <t>Word Problems using Sets</t>
        </is>
      </c>
      <c r="D81" s="14" t="inlineStr">
        <is>
          <t>A library has two sections: fiction and non-fiction. If 1/2 of the books in the fiction section are also in the non-fiction section, and there are 100 books in total, what is the number of books that are only in one section?</t>
        </is>
      </c>
      <c r="E81" s="14" t="inlineStr">
        <is>
          <t>20</t>
        </is>
      </c>
      <c r="F81" s="14" t="inlineStr">
        <is>
          <t>30</t>
        </is>
      </c>
      <c r="G81" s="14" t="inlineStr">
        <is>
          <t>50</t>
        </is>
      </c>
      <c r="H81" s="14" t="inlineStr">
        <is>
          <t>70</t>
        </is>
      </c>
      <c r="I81" s="15" t="inlineStr">
        <is>
          <t>D</t>
        </is>
      </c>
      <c r="J81" s="16" t="inlineStr">
        <is>
          <t>Use set operations to find the desired subset.</t>
        </is>
      </c>
    </row>
    <row r="82" ht="42" customHeight="1">
      <c r="A82" s="12" t="n">
        <v>80</v>
      </c>
      <c r="B82" s="12" t="inlineStr">
        <is>
          <t>Medium</t>
        </is>
      </c>
      <c r="C82" s="14" t="inlineStr">
        <is>
          <t>Set Identities and Properties</t>
        </is>
      </c>
      <c r="D82" s="14" t="inlineStr">
        <is>
          <t>Let U be the universal set, A ∩ B ≠ ∅. Which of the following is true?</t>
        </is>
      </c>
      <c r="E82" s="14" t="inlineStr">
        <is>
          <t>A) A ⊆ U, B ⊆ U</t>
        </is>
      </c>
      <c r="F82" s="14" t="inlineStr">
        <is>
          <t>B) A ⊂ U, B ⊂ U</t>
        </is>
      </c>
      <c r="G82" s="14" t="inlineStr">
        <is>
          <t>C) A ⊇ U, B ⊇ U</t>
        </is>
      </c>
      <c r="H82" s="14" t="inlineStr">
        <is>
          <t>D) A = U, B = U</t>
        </is>
      </c>
      <c r="I82" s="15" t="inlineStr">
        <is>
          <t>A</t>
        </is>
      </c>
      <c r="J82" s="16" t="inlineStr">
        <is>
          <t>Given that A and B have non-empty intersection, they must be subsets of the universal set U.</t>
        </is>
      </c>
    </row>
    <row r="83" ht="42" customHeight="1">
      <c r="A83" s="12" t="n">
        <v>81</v>
      </c>
      <c r="B83" s="12" t="inlineStr">
        <is>
          <t>Medium</t>
        </is>
      </c>
      <c r="C83" s="14" t="inlineStr">
        <is>
          <t>Set Identities and Properties</t>
        </is>
      </c>
      <c r="D83" s="14" t="inlineStr">
        <is>
          <t>If A ∪ (B ∩ C) = A ∪ B, which of the following is true?</t>
        </is>
      </c>
      <c r="E83" s="14" t="inlineStr">
        <is>
          <t>A) A ⊆ B</t>
        </is>
      </c>
      <c r="F83" s="14" t="inlineStr">
        <is>
          <t>B) A ⊇ B</t>
        </is>
      </c>
      <c r="G83" s="14" t="inlineStr">
        <is>
          <t>C) A ∩ B = ∅</t>
        </is>
      </c>
      <c r="H83" s="14" t="inlineStr">
        <is>
          <t>D) A ∩ C = ∅</t>
        </is>
      </c>
      <c r="I83" s="15" t="inlineStr">
        <is>
          <t>B</t>
        </is>
      </c>
      <c r="J83" s="16" t="inlineStr">
        <is>
          <t>Distribute union and intersection to get A ∪ (B ∩ C) = A ∪ B, then simplify.</t>
        </is>
      </c>
    </row>
    <row r="84" ht="42" customHeight="1">
      <c r="A84" s="12" t="n">
        <v>82</v>
      </c>
      <c r="B84" s="12" t="inlineStr">
        <is>
          <t>Medium</t>
        </is>
      </c>
      <c r="C84" s="14" t="inlineStr">
        <is>
          <t>Set Identities and Properties</t>
        </is>
      </c>
      <c r="D84" s="14" t="inlineStr">
        <is>
          <t>If A ⊆ B and C ⊇ D, which of the following is true?</t>
        </is>
      </c>
      <c r="E84" s="14" t="inlineStr">
        <is>
          <t>A) A ∩ C ⊆ B ∩ D</t>
        </is>
      </c>
      <c r="F84" s="14" t="inlineStr">
        <is>
          <t>B) A ∪ C ⊇ B ∪ D</t>
        </is>
      </c>
      <c r="G84" s="14" t="inlineStr">
        <is>
          <t>C) A ∩ C = B ∩ D</t>
        </is>
      </c>
      <c r="H84" s="14" t="inlineStr">
        <is>
          <t>D) A ∪ C = B ∪ D</t>
        </is>
      </c>
      <c r="I84" s="15" t="inlineStr">
        <is>
          <t>A</t>
        </is>
      </c>
      <c r="J84" s="16" t="inlineStr">
        <is>
          <t>Use set containment and intersection properties to deduce the result.</t>
        </is>
      </c>
    </row>
    <row r="85" ht="42" customHeight="1">
      <c r="A85" s="12" t="n">
        <v>83</v>
      </c>
      <c r="B85" s="12" t="inlineStr">
        <is>
          <t>Medium</t>
        </is>
      </c>
      <c r="C85" s="14" t="inlineStr">
        <is>
          <t>Application-based Set Theory Problems</t>
        </is>
      </c>
      <c r="D85" s="14" t="inlineStr">
        <is>
          <t>R is the universal set, and A and B are subsets such that</t>
        </is>
      </c>
      <c r="E85" s="14" t="inlineStr">
        <is>
          <t>A∪B</t>
        </is>
      </c>
      <c r="F85" s="14">
        <f>10,</f>
        <v/>
      </c>
      <c r="G85" s="14" t="inlineStr">
        <is>
          <t>A∩B</t>
        </is>
      </c>
      <c r="H85" s="14">
        <f>2, and</f>
        <v/>
      </c>
      <c r="I85" s="15" t="inlineStr">
        <is>
          <t>A</t>
        </is>
      </c>
      <c r="J85" s="16">
        <f>5. What is</f>
        <v/>
      </c>
    </row>
    <row r="86" ht="42" customHeight="1">
      <c r="A86" s="12" t="n">
        <v>84</v>
      </c>
      <c r="B86" s="12" t="inlineStr">
        <is>
          <t>Medium</t>
        </is>
      </c>
      <c r="C86" s="14" t="inlineStr">
        <is>
          <t>Application-based Set Theory Problems</t>
        </is>
      </c>
      <c r="D86" s="14" t="inlineStr">
        <is>
          <t>Let A and B be sets such that A ⊆ B. If</t>
        </is>
      </c>
      <c r="E86" s="14" t="inlineStr">
        <is>
          <t>A</t>
        </is>
      </c>
      <c r="F86" s="14">
        <f>8 and</f>
        <v/>
      </c>
      <c r="G86" s="14" t="inlineStr">
        <is>
          <t>B</t>
        </is>
      </c>
      <c r="H86" s="14">
        <f>12, what is the value of</f>
        <v/>
      </c>
      <c r="I86" s="15" t="inlineStr">
        <is>
          <t>A</t>
        </is>
      </c>
      <c r="J86" s="16" t="inlineStr">
        <is>
          <t>?</t>
        </is>
      </c>
    </row>
    <row r="87" ht="42" customHeight="1">
      <c r="A87" s="12" t="n">
        <v>85</v>
      </c>
      <c r="B87" s="12" t="inlineStr">
        <is>
          <t>Medium</t>
        </is>
      </c>
      <c r="C87" s="14" t="inlineStr">
        <is>
          <t>Application-based Set Theory Problems</t>
        </is>
      </c>
      <c r="D87" s="14" t="inlineStr">
        <is>
          <t>In a certain city, 30% of the population are students, and 20% of the students are athletes. If the total population is 100000, how many people are both students and athletes?</t>
        </is>
      </c>
      <c r="E87" s="14" t="inlineStr">
        <is>
          <t>6000</t>
        </is>
      </c>
      <c r="F87" s="14" t="inlineStr">
        <is>
          <t>12000</t>
        </is>
      </c>
      <c r="G87" s="14" t="inlineStr">
        <is>
          <t>18000</t>
        </is>
      </c>
      <c r="H87" s="14" t="inlineStr">
        <is>
          <t>20000</t>
        </is>
      </c>
      <c r="I87" s="15" t="inlineStr">
        <is>
          <t>B</t>
        </is>
      </c>
      <c r="J87" s="16" t="inlineStr">
        <is>
          <t>Use set operations:</t>
        </is>
      </c>
    </row>
    <row r="88" ht="42" customHeight="1">
      <c r="A88" s="12" t="n">
        <v>86</v>
      </c>
      <c r="B88" s="12" t="inlineStr">
        <is>
          <t>Medium</t>
        </is>
      </c>
      <c r="C88" s="14" t="inlineStr">
        <is>
          <t>Application-based Set Theory Problems</t>
        </is>
      </c>
      <c r="D88" s="14" t="inlineStr">
        <is>
          <t>A and B are sets such that A ⊆ B, and</t>
        </is>
      </c>
      <c r="E88" s="14" t="inlineStr">
        <is>
          <t>A</t>
        </is>
      </c>
      <c r="F88" s="14">
        <f>5. If</f>
        <v/>
      </c>
      <c r="G88" s="14" t="inlineStr">
        <is>
          <t>B^c</t>
        </is>
      </c>
      <c r="H88" s="14">
        <f>3, what is the value of</f>
        <v/>
      </c>
      <c r="I88" s="15" t="inlineStr">
        <is>
          <t>A</t>
        </is>
      </c>
      <c r="J88" s="16" t="inlineStr">
        <is>
          <t>?</t>
        </is>
      </c>
    </row>
    <row r="89" ht="42" customHeight="1">
      <c r="A89" s="12" t="n">
        <v>87</v>
      </c>
      <c r="B89" s="12" t="inlineStr">
        <is>
          <t>Medium</t>
        </is>
      </c>
      <c r="C89" s="14" t="inlineStr">
        <is>
          <t>De Morgan’s Laws</t>
        </is>
      </c>
      <c r="D89" s="14" t="inlineStr">
        <is>
          <t>Let U be the universal set and A, B be subsets. If A ∩ B' = ∅ and A' ∪ B = U, then what is A ∩ B?</t>
        </is>
      </c>
      <c r="E89" s="14" t="inlineStr">
        <is>
          <t>∅</t>
        </is>
      </c>
      <c r="F89" s="14" t="inlineStr">
        <is>
          <t>A</t>
        </is>
      </c>
      <c r="G89" s="14" t="inlineStr">
        <is>
          <t>B</t>
        </is>
      </c>
      <c r="H89" s="14" t="inlineStr">
        <is>
          <t>U</t>
        </is>
      </c>
      <c r="I89" s="15" t="inlineStr">
        <is>
          <t>D</t>
        </is>
      </c>
      <c r="J89" s="16" t="inlineStr">
        <is>
          <t>A</t>
        </is>
      </c>
    </row>
    <row r="90" ht="42" customHeight="1">
      <c r="A90" s="12" t="n">
        <v>88</v>
      </c>
      <c r="B90" s="12" t="inlineStr">
        <is>
          <t>Medium</t>
        </is>
      </c>
      <c r="C90" s="14" t="inlineStr">
        <is>
          <t>De Morgan’s Laws</t>
        </is>
      </c>
      <c r="D90" s="14" t="inlineStr">
        <is>
          <t>If A and B are subsets, then what is the complement of their union?</t>
        </is>
      </c>
      <c r="E90" s="14" t="inlineStr">
        <is>
          <t>(A ∪ B)' = A'</t>
        </is>
      </c>
      <c r="F90" s="14" t="inlineStr">
        <is>
          <t>A' ∪ B'</t>
        </is>
      </c>
      <c r="G90" s="14" t="inlineStr">
        <is>
          <t>(A ∪ B')</t>
        </is>
      </c>
      <c r="H90" s="14" t="inlineStr">
        <is>
          <t>B'</t>
        </is>
      </c>
      <c r="I90" s="15" t="inlineStr">
        <is>
          <t>D</t>
        </is>
      </c>
      <c r="J90" s="16" t="inlineStr">
        <is>
          <t>(A ∪ B)'</t>
        </is>
      </c>
    </row>
    <row r="91" ht="42" customHeight="1">
      <c r="A91" s="12" t="n">
        <v>89</v>
      </c>
      <c r="B91" s="12" t="inlineStr">
        <is>
          <t>Medium</t>
        </is>
      </c>
      <c r="C91" s="14" t="inlineStr">
        <is>
          <t>De Morgan’s Laws</t>
        </is>
      </c>
      <c r="D91" s="14" t="inlineStr">
        <is>
          <t>Let A and B be subsets. If (A ∩ B) = ∅, then what is the complement of their intersection?</t>
        </is>
      </c>
      <c r="E91" s="14" t="inlineStr">
        <is>
          <t>(A ∩ B)' = ?</t>
        </is>
      </c>
      <c r="F91" s="14" t="inlineStr">
        <is>
          <t>∅</t>
        </is>
      </c>
      <c r="G91" s="14" t="inlineStr">
        <is>
          <t>A'</t>
        </is>
      </c>
      <c r="H91" s="14" t="inlineStr">
        <is>
          <t>B'</t>
        </is>
      </c>
      <c r="I91" s="15" t="inlineStr">
        <is>
          <t>C</t>
        </is>
      </c>
      <c r="J91" s="16" t="inlineStr">
        <is>
          <t>(A ∪ B)</t>
        </is>
      </c>
    </row>
    <row r="92" ht="42" customHeight="1">
      <c r="A92" s="12" t="n">
        <v>90</v>
      </c>
      <c r="B92" s="12" t="inlineStr">
        <is>
          <t>Medium</t>
        </is>
      </c>
      <c r="C92" s="14" t="inlineStr">
        <is>
          <t>Cardinality of Sets</t>
        </is>
      </c>
      <c r="D92" s="14" t="inlineStr">
        <is>
          <t>Let A and B be finite sets. If</t>
        </is>
      </c>
      <c r="E92" s="14" t="inlineStr">
        <is>
          <t>A</t>
        </is>
      </c>
      <c r="F92" s="14">
        <f> 5 and</f>
        <v/>
      </c>
      <c r="G92" s="14" t="inlineStr">
        <is>
          <t>B</t>
        </is>
      </c>
      <c r="H92" s="14">
        <f> 7, which of the following is true?</f>
        <v/>
      </c>
      <c r="I92" s="15" t="inlineStr">
        <is>
          <t>A</t>
        </is>
      </c>
      <c r="J92" s="16" t="inlineStr">
        <is>
          <t>B has a larger cardinality than A</t>
        </is>
      </c>
    </row>
    <row r="93" ht="42" customHeight="1">
      <c r="A93" s="12" t="n">
        <v>91</v>
      </c>
      <c r="B93" s="12" t="inlineStr">
        <is>
          <t>Medium</t>
        </is>
      </c>
      <c r="C93" s="14" t="inlineStr">
        <is>
          <t>Cardinality of Sets</t>
        </is>
      </c>
      <c r="D93" s="14" t="inlineStr">
        <is>
          <t>Let A and B be sets. If</t>
        </is>
      </c>
      <c r="E93" s="14" t="inlineStr">
        <is>
          <t>A</t>
        </is>
      </c>
      <c r="F93" s="14">
        <f> 9,</f>
        <v/>
      </c>
      <c r="G93" s="14" t="inlineStr">
        <is>
          <t>B</t>
        </is>
      </c>
      <c r="H93" s="14">
        <f> 12, and</f>
        <v/>
      </c>
      <c r="I93" s="15" t="inlineStr">
        <is>
          <t>A</t>
        </is>
      </c>
      <c r="J93" s="16">
        <f> 18, what is the value of</f>
        <v/>
      </c>
    </row>
    <row r="94" ht="42" customHeight="1">
      <c r="A94" s="12" t="n">
        <v>92</v>
      </c>
      <c r="B94" s="12" t="inlineStr">
        <is>
          <t>Medium</t>
        </is>
      </c>
      <c r="C94" s="14" t="inlineStr">
        <is>
          <t>Venn Diagram Problems (3 sets)</t>
        </is>
      </c>
      <c r="D94" s="14" t="inlineStr">
        <is>
          <t>Three sets U, A, and B satisfy UAUB. If</t>
        </is>
      </c>
      <c r="E94" s="14" t="inlineStr">
        <is>
          <t>U</t>
        </is>
      </c>
      <c r="F94" s="14">
        <f>24,</f>
        <v/>
      </c>
      <c r="G94" s="14" t="inlineStr">
        <is>
          <t>A</t>
        </is>
      </c>
      <c r="H94" s="14">
        <f>16, and</f>
        <v/>
      </c>
      <c r="I94" s="15" t="inlineStr">
        <is>
          <t>B</t>
        </is>
      </c>
      <c r="J94" s="16">
        <f>12, find</f>
        <v/>
      </c>
    </row>
    <row r="95" ht="42" customHeight="1">
      <c r="A95" s="12" t="n">
        <v>93</v>
      </c>
      <c r="B95" s="12" t="inlineStr">
        <is>
          <t>Medium</t>
        </is>
      </c>
      <c r="C95" s="14" t="inlineStr">
        <is>
          <t>Operations on Sets (union, intersection, difference)</t>
        </is>
      </c>
      <c r="D95" s="14" t="inlineStr">
        <is>
          <t>Let A = {1, 2, 3} and B = {2, 4, 6}. Find A ∩ B</t>
        </is>
      </c>
      <c r="E95" s="14" t="inlineStr">
        <is>
          <t>{2}</t>
        </is>
      </c>
      <c r="F95" s="14" t="inlineStr">
        <is>
          <t>A and B have one common element</t>
        </is>
      </c>
      <c r="G95" s="14" t="inlineStr">
        <is>
          <t>B</t>
        </is>
      </c>
      <c r="H95" s="14" t="inlineStr">
        <is>
          <t>C</t>
        </is>
      </c>
      <c r="I95" s="15" t="inlineStr">
        <is>
          <t>D</t>
        </is>
      </c>
      <c r="J95" s="16" t="inlineStr">
        <is>
          <t>B</t>
        </is>
      </c>
    </row>
    <row r="96" ht="42" customHeight="1">
      <c r="A96" s="12" t="n">
        <v>94</v>
      </c>
      <c r="B96" s="12" t="inlineStr">
        <is>
          <t>Medium</t>
        </is>
      </c>
      <c r="C96" s="14" t="inlineStr">
        <is>
          <t>Operations on Sets (union, intersection, difference)</t>
        </is>
      </c>
      <c r="D96" s="14" t="inlineStr">
        <is>
          <t>Given sets X = {a, b, c} and Y = {b, d, e}. Find X ∪ Y</t>
        </is>
      </c>
      <c r="E96" s="14" t="inlineStr">
        <is>
          <t>{a, b, c, d, e}</t>
        </is>
      </c>
      <c r="F96" s="14" t="inlineStr">
        <is>
          <t>All elements from both sets combined</t>
        </is>
      </c>
      <c r="G96" s="14" t="inlineStr">
        <is>
          <t>A</t>
        </is>
      </c>
      <c r="H96" s="14" t="inlineStr">
        <is>
          <t>B</t>
        </is>
      </c>
      <c r="I96" s="15" t="inlineStr">
        <is>
          <t>C</t>
        </is>
      </c>
      <c r="J96" s="16" t="inlineStr">
        <is>
          <t>D</t>
        </is>
      </c>
    </row>
    <row r="97" ht="42" customHeight="1">
      <c r="A97" s="12" t="n">
        <v>95</v>
      </c>
      <c r="B97" s="12" t="inlineStr">
        <is>
          <t>Medium</t>
        </is>
      </c>
      <c r="C97" s="14" t="inlineStr">
        <is>
          <t>Operations on Sets (union, intersection, difference)</t>
        </is>
      </c>
      <c r="D97" s="14" t="inlineStr">
        <is>
          <t>Let P = {x, y} and Q = {y, z}. Find P ∩ Q</t>
        </is>
      </c>
      <c r="E97" s="14" t="inlineStr">
        <is>
          <t>{y}</t>
        </is>
      </c>
      <c r="F97" s="14" t="inlineStr">
        <is>
          <t>P and Q share the element y</t>
        </is>
      </c>
      <c r="G97" s="14" t="inlineStr">
        <is>
          <t>A</t>
        </is>
      </c>
      <c r="H97" s="14" t="inlineStr">
        <is>
          <t>B</t>
        </is>
      </c>
      <c r="I97" s="15" t="inlineStr">
        <is>
          <t>C</t>
        </is>
      </c>
      <c r="J97" s="16" t="inlineStr">
        <is>
          <t>D</t>
        </is>
      </c>
    </row>
    <row r="98" ht="42" customHeight="1">
      <c r="A98" s="12" t="n">
        <v>96</v>
      </c>
      <c r="B98" s="12" t="inlineStr">
        <is>
          <t>Medium</t>
        </is>
      </c>
      <c r="C98" s="14" t="inlineStr">
        <is>
          <t>Operations on Sets (union, intersection, difference)</t>
        </is>
      </c>
      <c r="D98" s="14" t="inlineStr">
        <is>
          <t>Given sets M = {1, 2} and N = {2, 3}. Find M ∖ N</t>
        </is>
      </c>
      <c r="E98" s="14" t="inlineStr">
        <is>
          <t>{1}</t>
        </is>
      </c>
      <c r="F98" s="14" t="inlineStr">
        <is>
          <t>Elements unique to set M</t>
        </is>
      </c>
      <c r="G98" s="14" t="inlineStr">
        <is>
          <t>A</t>
        </is>
      </c>
      <c r="H98" s="14" t="inlineStr">
        <is>
          <t>B</t>
        </is>
      </c>
      <c r="I98" s="15" t="inlineStr">
        <is>
          <t>C</t>
        </is>
      </c>
      <c r="J98" s="16" t="inlineStr">
        <is>
          <t>D</t>
        </is>
      </c>
    </row>
    <row r="99" ht="42" customHeight="1">
      <c r="A99" s="12" t="n">
        <v>97</v>
      </c>
      <c r="B99" s="12" t="inlineStr">
        <is>
          <t>Medium</t>
        </is>
      </c>
      <c r="C99" s="14" t="inlineStr">
        <is>
          <t>Complement of Sets</t>
        </is>
      </c>
      <c r="D99" s="14" t="inlineStr">
        <is>
          <t>Let U be the universal set, and A and B be two sets such that A ∩ B = {x}. If</t>
        </is>
      </c>
      <c r="E99" s="14" t="inlineStr">
        <is>
          <t>A</t>
        </is>
      </c>
      <c r="F99" s="14">
        <f> 12 and</f>
        <v/>
      </c>
      <c r="G99" s="14" t="inlineStr">
        <is>
          <t>B</t>
        </is>
      </c>
      <c r="H99" s="14">
        <f> 8, then</f>
        <v/>
      </c>
      <c r="I99" s="15" t="inlineStr">
        <is>
          <t>A</t>
        </is>
      </c>
      <c r="J99" s="16" t="inlineStr">
        <is>
          <t>is equal to...</t>
        </is>
      </c>
    </row>
    <row r="100" ht="42" customHeight="1">
      <c r="A100" s="12" t="n">
        <v>98</v>
      </c>
      <c r="B100" s="12" t="inlineStr">
        <is>
          <t>Medium</t>
        </is>
      </c>
      <c r="C100" s="14" t="inlineStr">
        <is>
          <t>Basic Set Concepts (elements, subsets, types of sets)</t>
        </is>
      </c>
      <c r="D100" s="14" t="inlineStr">
        <is>
          <t>If A = {1, 2, 3} and B = {2, 3, 4}, what is the union of sets A and B?</t>
        </is>
      </c>
      <c r="E100" s="14" t="inlineStr">
        <is>
          <t>{1,2,3,4}</t>
        </is>
      </c>
      <c r="F100" s="14" t="inlineStr">
        <is>
          <t>{1,2,3,5}</t>
        </is>
      </c>
      <c r="G100" s="14" t="inlineStr">
        <is>
          <t>{1,2,3,4,5}</t>
        </is>
      </c>
      <c r="H100" s="14" t="inlineStr">
        <is>
          <t>{1,3,4,5}</t>
        </is>
      </c>
      <c r="I100" s="15" t="inlineStr">
        <is>
          <t>C</t>
        </is>
      </c>
      <c r="J100" s="16" t="inlineStr">
        <is>
          <t>The union of two sets is the set of all elements that are in either set.</t>
        </is>
      </c>
    </row>
    <row r="101" ht="42" customHeight="1">
      <c r="A101" s="12" t="n">
        <v>99</v>
      </c>
      <c r="B101" s="12" t="inlineStr">
        <is>
          <t>Medium</t>
        </is>
      </c>
      <c r="C101" s="14" t="inlineStr">
        <is>
          <t>Basic Set Concepts (elements, subsets, types of sets)</t>
        </is>
      </c>
      <c r="D101" s="14" t="inlineStr">
        <is>
          <t>Let A = {a, b} and B = {b, c}. What is the intersection of sets A and B?</t>
        </is>
      </c>
      <c r="E101" s="14" t="inlineStr">
        <is>
          <t>{b}</t>
        </is>
      </c>
      <c r="F101" s="14" t="inlineStr">
        <is>
          <t>{a,c}</t>
        </is>
      </c>
      <c r="G101" s="14" t="inlineStr">
        <is>
          <t>{b,c}</t>
        </is>
      </c>
      <c r="H101" s="14" t="inlineStr">
        <is>
          <t>{}</t>
        </is>
      </c>
      <c r="I101" s="15" t="inlineStr">
        <is>
          <t>D</t>
        </is>
      </c>
      <c r="J101" s="16" t="inlineStr">
        <is>
          <t>The intersection of two sets is the set of all elements that are in both sets.</t>
        </is>
      </c>
    </row>
    <row r="102" ht="42" customHeight="1">
      <c r="A102" s="12" t="n">
        <v>100</v>
      </c>
      <c r="B102" s="12" t="inlineStr">
        <is>
          <t>Medium</t>
        </is>
      </c>
      <c r="C102" s="14" t="inlineStr">
        <is>
          <t>Venn Diagram Problems (2 sets)</t>
        </is>
      </c>
      <c r="D102" s="14" t="inlineStr">
        <is>
          <t>Let U be the universal set, A and B be two sets. If</t>
        </is>
      </c>
      <c r="E102" s="14" t="inlineStr">
        <is>
          <t>A∩B</t>
        </is>
      </c>
      <c r="F102" s="14">
        <f>10,</f>
        <v/>
      </c>
      <c r="G102" s="14" t="inlineStr">
        <is>
          <t>A</t>
        </is>
      </c>
      <c r="H102" s="14">
        <f>25, and</f>
        <v/>
      </c>
      <c r="I102" s="15" t="inlineStr">
        <is>
          <t>B</t>
        </is>
      </c>
      <c r="J102" s="16">
        <f>20, find</f>
        <v/>
      </c>
    </row>
    <row r="103" ht="42" customHeight="1">
      <c r="A103" s="12" t="n">
        <v>101</v>
      </c>
      <c r="B103" s="12" t="inlineStr">
        <is>
          <t>Medium</t>
        </is>
      </c>
      <c r="C103" s="14" t="inlineStr">
        <is>
          <t>Venn Diagram Problems (2 sets)</t>
        </is>
      </c>
      <c r="D103" s="14" t="inlineStr">
        <is>
          <t>Sets A and B are represented by the following Venn diagram. If</t>
        </is>
      </c>
      <c r="E103" s="14" t="inlineStr">
        <is>
          <t>A</t>
        </is>
      </c>
      <c r="F103" s="14">
        <f>12,</f>
        <v/>
      </c>
      <c r="G103" s="14" t="inlineStr">
        <is>
          <t>B</t>
        </is>
      </c>
      <c r="H103" s="14">
        <f>8, and</f>
        <v/>
      </c>
      <c r="I103" s="15" t="inlineStr">
        <is>
          <t>A</t>
        </is>
      </c>
      <c r="J103" s="16">
        <f>3, find</f>
        <v/>
      </c>
    </row>
    <row r="104" ht="42" customHeight="1">
      <c r="A104" s="12" t="n">
        <v>102</v>
      </c>
      <c r="B104" s="12" t="inlineStr">
        <is>
          <t>Medium</t>
        </is>
      </c>
      <c r="C104" s="14" t="inlineStr">
        <is>
          <t>Venn Diagram Problems (2 sets)</t>
        </is>
      </c>
      <c r="D104" s="14" t="inlineStr">
        <is>
          <t>Let A and B be two sets. If</t>
        </is>
      </c>
      <c r="E104" s="14" t="inlineStr">
        <is>
          <t>A∪B</t>
        </is>
      </c>
      <c r="F104" s="14">
        <f>30,</f>
        <v/>
      </c>
      <c r="G104" s="14" t="inlineStr">
        <is>
          <t>A∩B</t>
        </is>
      </c>
      <c r="H104" s="14">
        <f>5, and</f>
        <v/>
      </c>
      <c r="I104" s="15" t="inlineStr">
        <is>
          <t>A</t>
        </is>
      </c>
      <c r="J104" s="16">
        <f>18, find</f>
        <v/>
      </c>
    </row>
    <row r="105" ht="42" customHeight="1">
      <c r="A105" s="12" t="n">
        <v>103</v>
      </c>
      <c r="B105" s="12" t="inlineStr">
        <is>
          <t>Medium</t>
        </is>
      </c>
      <c r="C105" s="14" t="inlineStr">
        <is>
          <t>Word Problems using Sets</t>
        </is>
      </c>
      <c r="D105" s="14" t="inlineStr">
        <is>
          <t>A bakery offers two types of cookies, chocolate and vanilla. If 1/3 of the cookies sold are chocolate and 2/5 of the cookies sold are vanilla, what fraction of the total cookies sold is neither chocolate nor vanilla?</t>
        </is>
      </c>
      <c r="E105" s="14" t="inlineStr">
        <is>
          <t>0</t>
        </is>
      </c>
      <c r="F105" s="14" t="inlineStr">
        <is>
          <t>1/15</t>
        </is>
      </c>
      <c r="G105" s="14" t="inlineStr">
        <is>
          <t>1/6</t>
        </is>
      </c>
      <c r="H105" s="14" t="inlineStr">
        <is>
          <t>2/3</t>
        </is>
      </c>
      <c r="I105" s="15" t="inlineStr">
        <is>
          <t>D</t>
        </is>
      </c>
      <c r="J105" s="16" t="inlineStr">
        <is>
          <t>Use Venn diagram to find the complement set.</t>
        </is>
      </c>
    </row>
    <row r="106" ht="42" customHeight="1">
      <c r="A106" s="12" t="n">
        <v>104</v>
      </c>
      <c r="B106" s="12" t="inlineStr">
        <is>
          <t>Medium</t>
        </is>
      </c>
      <c r="C106" s="14" t="inlineStr">
        <is>
          <t>Word Problems using Sets</t>
        </is>
      </c>
      <c r="D106" s="14" t="inlineStr">
        <is>
          <t>A company has two types of employees: full-time and part-time. If 3/5 of the employees are full-time and 2/3 of the full-time employees are also part-time, what fraction of the total employees is neither full-time nor part-time?</t>
        </is>
      </c>
      <c r="E106" s="14" t="inlineStr">
        <is>
          <t>1/15</t>
        </is>
      </c>
      <c r="F106" s="14" t="inlineStr">
        <is>
          <t>1/6</t>
        </is>
      </c>
      <c r="G106" s="14" t="inlineStr">
        <is>
          <t>0</t>
        </is>
      </c>
      <c r="H106" s="14" t="inlineStr">
        <is>
          <t>2/3</t>
        </is>
      </c>
      <c r="I106" s="15" t="inlineStr">
        <is>
          <t>A</t>
        </is>
      </c>
      <c r="J106" s="16" t="inlineStr">
        <is>
          <t>Use Venn diagram to find the complement set.</t>
        </is>
      </c>
    </row>
    <row r="107" ht="42" customHeight="1">
      <c r="A107" s="12" t="n">
        <v>105</v>
      </c>
      <c r="B107" s="12" t="inlineStr">
        <is>
          <t>Medium</t>
        </is>
      </c>
      <c r="C107" s="14" t="inlineStr">
        <is>
          <t>Word Problems using Sets</t>
        </is>
      </c>
      <c r="D107" s="14" t="inlineStr">
        <is>
          <t>A student has three favorite TV shows: A, B, and C. If she watches show A 2/5 of the time, show B 3/7 of the time, and show C 1/4 of the time, what fraction of the total time does she not watch any of her favorite shows?</t>
        </is>
      </c>
      <c r="E107" s="14" t="inlineStr">
        <is>
          <t>0</t>
        </is>
      </c>
      <c r="F107" s="14" t="inlineStr">
        <is>
          <t>1/20</t>
        </is>
      </c>
      <c r="G107" s="14" t="inlineStr">
        <is>
          <t>1/14</t>
        </is>
      </c>
      <c r="H107" s="14" t="inlineStr">
        <is>
          <t>3/10</t>
        </is>
      </c>
      <c r="I107" s="15" t="inlineStr">
        <is>
          <t>C</t>
        </is>
      </c>
      <c r="J107" s="16" t="inlineStr">
        <is>
          <t>Use Venn diagram to find the complement set.</t>
        </is>
      </c>
    </row>
    <row r="108" ht="42" customHeight="1">
      <c r="A108" s="12" t="n">
        <v>106</v>
      </c>
      <c r="B108" s="12" t="inlineStr">
        <is>
          <t>Medium</t>
        </is>
      </c>
      <c r="C108" s="14" t="inlineStr">
        <is>
          <t>Word Problems using Sets</t>
        </is>
      </c>
      <c r="D108" s="14" t="inlineStr">
        <is>
          <t>A library has two types of books: fiction and non-fiction. If 2/5 of the books are fiction and 3/4 of the fiction books are also non-fiction, what fraction of the total books is neither fiction nor non-fiction?</t>
        </is>
      </c>
      <c r="E108" s="14" t="inlineStr">
        <is>
          <t>1/20</t>
        </is>
      </c>
      <c r="F108" s="14" t="inlineStr">
        <is>
          <t>0</t>
        </is>
      </c>
      <c r="G108" s="14" t="inlineStr">
        <is>
          <t>1/10</t>
        </is>
      </c>
      <c r="H108" s="14" t="inlineStr">
        <is>
          <t>2/5</t>
        </is>
      </c>
      <c r="I108" s="15" t="inlineStr">
        <is>
          <t>B</t>
        </is>
      </c>
      <c r="J108" s="16" t="inlineStr">
        <is>
          <t>Use Venn diagram to find the complement set.</t>
        </is>
      </c>
    </row>
    <row r="109" ht="42" customHeight="1">
      <c r="A109" s="12" t="n">
        <v>107</v>
      </c>
      <c r="B109" s="12" t="inlineStr">
        <is>
          <t>Medium</t>
        </is>
      </c>
      <c r="C109" s="14" t="inlineStr">
        <is>
          <t>Set Identities and Properties</t>
        </is>
      </c>
      <c r="D109" s="14" t="inlineStr">
        <is>
          <t>Let U be the universal set, A ∩ B ≠ ∅. Which of the following is true?</t>
        </is>
      </c>
      <c r="E109" s="14" t="inlineStr">
        <is>
          <t>A) A ⊆ B or B ⊆ A</t>
        </is>
      </c>
      <c r="F109" s="14" t="inlineStr">
        <is>
          <t>B) A ⊇ B or B ⊇ A</t>
        </is>
      </c>
      <c r="G109" s="14" t="inlineStr">
        <is>
          <t>C) A = B</t>
        </is>
      </c>
      <c r="H109" s="14" t="inlineStr">
        <is>
          <t>D) A ∪ B = U</t>
        </is>
      </c>
      <c r="I109" s="15" t="inlineStr">
        <is>
          <t>A</t>
        </is>
      </c>
      <c r="J109" s="16" t="inlineStr">
        <is>
          <t>Given that A and B have a non-empty intersection, we can conclude that at least one of the sets is contained in the other.</t>
        </is>
      </c>
    </row>
    <row r="110" ht="42" customHeight="1">
      <c r="A110" s="12" t="n">
        <v>108</v>
      </c>
      <c r="B110" s="12" t="inlineStr">
        <is>
          <t>Medium</t>
        </is>
      </c>
      <c r="C110" s="14" t="inlineStr">
        <is>
          <t>Set Identities and Properties</t>
        </is>
      </c>
      <c r="D110" s="14" t="inlineStr">
        <is>
          <t>If A and B are sets such that A ⊆ B and C ⊇ D, which of the following is true?</t>
        </is>
      </c>
      <c r="E110" s="14" t="inlineStr">
        <is>
          <t>A) (A ∩ C) ⊆ (B ∩ D)</t>
        </is>
      </c>
      <c r="F110" s="14" t="inlineStr">
        <is>
          <t>B) (A ∪ C) ⊇ (B ∪ D)</t>
        </is>
      </c>
      <c r="G110" s="14" t="inlineStr">
        <is>
          <t>C) (A ∩ C) = (B ∩ D)</t>
        </is>
      </c>
      <c r="H110" s="14" t="inlineStr">
        <is>
          <t>D) (A ∪ C) ⊆ (B ∪ D)</t>
        </is>
      </c>
      <c r="I110" s="15" t="inlineStr">
        <is>
          <t>A</t>
        </is>
      </c>
      <c r="J110" s="16" t="inlineStr">
        <is>
          <t>(A ⊆ B and C ⊇ D) implies that (A ∩ C) is contained in both (B ∩ D) and U.</t>
        </is>
      </c>
    </row>
    <row r="111" ht="42" customHeight="1">
      <c r="A111" s="12" t="n">
        <v>109</v>
      </c>
      <c r="B111" s="12" t="inlineStr">
        <is>
          <t>Medium</t>
        </is>
      </c>
      <c r="C111" s="14" t="inlineStr">
        <is>
          <t>Set Identities and Properties</t>
        </is>
      </c>
      <c r="D111" s="14" t="inlineStr">
        <is>
          <t>Let A, B, and C be sets such that A ∩ B = ∅. Which of the following is true?</t>
        </is>
      </c>
      <c r="E111" s="14" t="inlineStr">
        <is>
          <t>A) (A ∪ B) ⊇ C</t>
        </is>
      </c>
      <c r="F111" s="14" t="inlineStr">
        <is>
          <t>(A ∪ B) ⊆ C</t>
        </is>
      </c>
      <c r="G111" s="14" t="inlineStr">
        <is>
          <t>C) (A ∪ B) = C</t>
        </is>
      </c>
      <c r="H111" s="14" t="inlineStr">
        <is>
          <t>D) (A ∪ B) ⊃ C</t>
        </is>
      </c>
      <c r="I111" s="15" t="inlineStr">
        <is>
          <t>B</t>
        </is>
      </c>
      <c r="J111" s="16" t="inlineStr">
        <is>
          <t>(Since A and B have an empty intersection, their union cannot contain any elements of C.)</t>
        </is>
      </c>
    </row>
    <row r="112" ht="42" customHeight="1">
      <c r="A112" s="12" t="n">
        <v>110</v>
      </c>
      <c r="B112" s="12" t="inlineStr">
        <is>
          <t>Medium</t>
        </is>
      </c>
      <c r="C112" s="14" t="inlineStr">
        <is>
          <t>Set Identities and Properties</t>
        </is>
      </c>
      <c r="D112" s="14" t="inlineStr">
        <is>
          <t>If A and B are sets such that A ⊆ B and</t>
        </is>
      </c>
      <c r="E112" s="14" t="inlineStr">
        <is>
          <t>A</t>
        </is>
      </c>
      <c r="F112" s="14" t="inlineStr">
        <is>
          <t>&lt;</t>
        </is>
      </c>
      <c r="G112" s="14" t="inlineStr">
        <is>
          <t>B</t>
        </is>
      </c>
      <c r="H112" s="14" t="inlineStr">
        <is>
          <t>, which of the following is true?</t>
        </is>
      </c>
      <c r="I112" s="15" t="inlineStr">
        <is>
          <t>A</t>
        </is>
      </c>
      <c r="J112" s="16" t="inlineStr">
        <is>
          <t>A ∩ B</t>
        </is>
      </c>
    </row>
    <row r="113" ht="42" customHeight="1">
      <c r="A113" s="12" t="n">
        <v>111</v>
      </c>
      <c r="B113" s="12" t="inlineStr">
        <is>
          <t>Medium</t>
        </is>
      </c>
      <c r="C113" s="14" t="inlineStr">
        <is>
          <t>Application-based Set Theory Problems</t>
        </is>
      </c>
      <c r="D113" s="14" t="inlineStr">
        <is>
          <t>Rahul has 5 red balls, 7 blue balls, and 3 green balls. If he randomly selects one ball from the bag, find P(red) ∩ P(not green).</t>
        </is>
      </c>
      <c r="E113" s="14" t="inlineStr">
        <is>
          <t>1/2</t>
        </is>
      </c>
      <c r="F113" s="14" t="inlineStr">
        <is>
          <t>1/3</t>
        </is>
      </c>
      <c r="G113" s="14" t="inlineStr">
        <is>
          <t>2/3</t>
        </is>
      </c>
      <c r="H113" s="14" t="inlineStr">
        <is>
          <t>1/4</t>
        </is>
      </c>
      <c r="I113" s="15" t="inlineStr">
        <is>
          <t>A</t>
        </is>
      </c>
      <c r="J113" s="16" t="inlineStr">
        <is>
          <t>Use probability formula: P(A) =</t>
        </is>
      </c>
    </row>
    <row r="114" ht="42" customHeight="1">
      <c r="A114" s="12" t="n">
        <v>112</v>
      </c>
      <c r="B114" s="12" t="inlineStr">
        <is>
          <t>Medium</t>
        </is>
      </c>
      <c r="C114" s="14" t="inlineStr">
        <is>
          <t>Application-based Set Theory Problems</t>
        </is>
      </c>
      <c r="D114" s="14" t="inlineStr">
        <is>
          <t>In a survey of 100 students, it was found that 30 students like both Mathematics and Physics, 20 students like only Mathematics, and 50 students like only Physics. Find the number of students who like at least one of these subjects.</t>
        </is>
      </c>
      <c r="E114" s="14" t="inlineStr">
        <is>
          <t>40</t>
        </is>
      </c>
      <c r="F114" s="14" t="inlineStr">
        <is>
          <t>60</t>
        </is>
      </c>
      <c r="G114" s="14" t="inlineStr">
        <is>
          <t>70</t>
        </is>
      </c>
      <c r="H114" s="14" t="inlineStr">
        <is>
          <t>80</t>
        </is>
      </c>
      <c r="I114" s="15" t="inlineStr">
        <is>
          <t>D</t>
        </is>
      </c>
      <c r="J114" s="16" t="inlineStr">
        <is>
          <t>Use Venn diagram to represent sets and calculate union.</t>
        </is>
      </c>
    </row>
    <row r="115" ht="42" customHeight="1">
      <c r="A115" s="12" t="n">
        <v>113</v>
      </c>
      <c r="B115" s="12" t="inlineStr">
        <is>
          <t>Medium</t>
        </is>
      </c>
      <c r="C115" s="14" t="inlineStr">
        <is>
          <t>De Morgan’s Laws</t>
        </is>
      </c>
      <c r="D115" s="14" t="inlineStr">
        <is>
          <t>(A ∩ B)′ + (A′ ∩ B)′ = ?</t>
        </is>
      </c>
      <c r="E115" s="14" t="inlineStr">
        <is>
          <t>A′ ∪ B′</t>
        </is>
      </c>
      <c r="F115" s="14" t="inlineStr">
        <is>
          <t>B′ ∪ A′</t>
        </is>
      </c>
      <c r="G115" s="14" t="inlineStr">
        <is>
          <t>A′ ∩ B′</t>
        </is>
      </c>
      <c r="H115" s="14" t="inlineStr">
        <is>
          <t>A ∪ B′</t>
        </is>
      </c>
      <c r="I115" s="15" t="inlineStr">
        <is>
          <t>D</t>
        </is>
      </c>
      <c r="J115" s="16" t="inlineStr">
        <is>
          <t>(A ∩ B)′ and (A′ ∩ B)′ are complements of intersections, so union them.</t>
        </is>
      </c>
    </row>
    <row r="116" ht="42" customHeight="1">
      <c r="A116" s="12" t="n">
        <v>114</v>
      </c>
      <c r="B116" s="12" t="inlineStr">
        <is>
          <t>Medium</t>
        </is>
      </c>
      <c r="C116" s="14" t="inlineStr">
        <is>
          <t>De Morgan’s Laws</t>
        </is>
      </c>
      <c r="D116" s="14" t="inlineStr">
        <is>
          <t>(A ∪ B)′ = ?</t>
        </is>
      </c>
      <c r="E116" s="14" t="inlineStr">
        <is>
          <t>A′ ∩ B′</t>
        </is>
      </c>
      <c r="F116" s="14" t="inlineStr">
        <is>
          <t>B′ ∩ A′</t>
        </is>
      </c>
      <c r="G116" s="14" t="inlineStr">
        <is>
          <t>A′ ∪ B′</t>
        </is>
      </c>
      <c r="H116" s="14" t="inlineStr">
        <is>
          <t>A′ ∩ B′</t>
        </is>
      </c>
      <c r="I116" s="15" t="inlineStr">
        <is>
          <t>C</t>
        </is>
      </c>
      <c r="J116" s="16" t="inlineStr">
        <is>
          <t>(A ∪ B)′ is the complement of the union, which is the intersection of complements.</t>
        </is>
      </c>
    </row>
    <row r="117" ht="42" customHeight="1">
      <c r="A117" s="12" t="n">
        <v>115</v>
      </c>
      <c r="B117" s="12" t="inlineStr">
        <is>
          <t>Medium</t>
        </is>
      </c>
      <c r="C117" s="14" t="inlineStr">
        <is>
          <t>De Morgan’s Laws</t>
        </is>
      </c>
      <c r="D117" s="14" t="inlineStr">
        <is>
          <t>(A′ ∩ B)′ = ?</t>
        </is>
      </c>
      <c r="E117" s="14" t="inlineStr">
        <is>
          <t>A ∪ B</t>
        </is>
      </c>
      <c r="F117" s="14" t="inlineStr">
        <is>
          <t>A ∩ B</t>
        </is>
      </c>
      <c r="G117" s="14" t="inlineStr">
        <is>
          <t>A′ ∪ B′</t>
        </is>
      </c>
      <c r="H117" s="14" t="inlineStr">
        <is>
          <t>A′ ∩ B′</t>
        </is>
      </c>
      <c r="I117" s="15" t="inlineStr">
        <is>
          <t>B</t>
        </is>
      </c>
      <c r="J117" s="16" t="inlineStr">
        <is>
          <t>(Complement of intersection is the union of complements).</t>
        </is>
      </c>
    </row>
    <row r="118" ht="42" customHeight="1">
      <c r="A118" s="12" t="n">
        <v>116</v>
      </c>
      <c r="B118" s="12" t="inlineStr">
        <is>
          <t>Medium</t>
        </is>
      </c>
      <c r="C118" s="14" t="inlineStr">
        <is>
          <t>De Morgan’s Laws</t>
        </is>
      </c>
      <c r="D118" s="14" t="inlineStr">
        <is>
          <t>(A′ ∪ B)′ = ?</t>
        </is>
      </c>
      <c r="E118" s="14" t="inlineStr">
        <is>
          <t>A ∩ B</t>
        </is>
      </c>
      <c r="F118" s="14" t="inlineStr">
        <is>
          <t>A ∪ B</t>
        </is>
      </c>
      <c r="G118" s="14" t="inlineStr">
        <is>
          <t>A′ ∩ B′</t>
        </is>
      </c>
      <c r="H118" s="14" t="inlineStr">
        <is>
          <t>A′ ∪ B′</t>
        </is>
      </c>
      <c r="I118" s="15" t="inlineStr">
        <is>
          <t>A</t>
        </is>
      </c>
      <c r="J118" s="16" t="inlineStr">
        <is>
          <t>(Complement of union is the intersection of complements).</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2"/>
  <sheetViews>
    <sheetView workbookViewId="0">
      <pane ySplit="2" topLeftCell="A3" activePane="bottomLeft" state="frozen"/>
      <selection pane="bottomLeft" activeCell="A1" sqref="A1"/>
    </sheetView>
  </sheetViews>
  <sheetFormatPr baseColWidth="8" defaultRowHeight="15"/>
  <cols>
    <col width="6" customWidth="1" min="1" max="1"/>
    <col width="9" customWidth="1" min="2" max="2"/>
    <col width="28" customWidth="1" min="3" max="3"/>
    <col width="52" customWidth="1" min="4" max="4"/>
    <col width="22" customWidth="1" min="5" max="5"/>
    <col width="22" customWidth="1" min="6" max="6"/>
    <col width="22" customWidth="1" min="7" max="7"/>
    <col width="22" customWidth="1" min="8" max="8"/>
    <col width="8" customWidth="1" min="9" max="9"/>
    <col width="58" customWidth="1" min="10" max="10"/>
  </cols>
  <sheetData>
    <row r="1" ht="38" customHeight="1">
      <c r="A1" s="19" t="inlineStr">
        <is>
          <t>SET THEORY — HARD LEVEL  (120 Questions)</t>
        </is>
      </c>
    </row>
    <row r="2" ht="30" customHeight="1">
      <c r="A2" s="1" t="inlineStr">
        <is>
          <t>Q.No</t>
        </is>
      </c>
      <c r="B2" s="1" t="inlineStr">
        <is>
          <t>Level</t>
        </is>
      </c>
      <c r="C2" s="1" t="inlineStr">
        <is>
          <t>Sub-Topic</t>
        </is>
      </c>
      <c r="D2" s="1" t="inlineStr">
        <is>
          <t>Question</t>
        </is>
      </c>
      <c r="E2" s="1" t="inlineStr">
        <is>
          <t>Option A</t>
        </is>
      </c>
      <c r="F2" s="1" t="inlineStr">
        <is>
          <t>Option B</t>
        </is>
      </c>
      <c r="G2" s="1" t="inlineStr">
        <is>
          <t>Option C</t>
        </is>
      </c>
      <c r="H2" s="1" t="inlineStr">
        <is>
          <t>Option D</t>
        </is>
      </c>
      <c r="I2" s="1" t="inlineStr">
        <is>
          <t>Answer</t>
        </is>
      </c>
      <c r="J2" s="1" t="inlineStr">
        <is>
          <t>Explanation</t>
        </is>
      </c>
    </row>
    <row r="3" ht="42" customHeight="1">
      <c r="A3" s="2" t="n">
        <v>1</v>
      </c>
      <c r="B3" s="2" t="inlineStr">
        <is>
          <t>Hard</t>
        </is>
      </c>
      <c r="C3" s="4" t="inlineStr">
        <is>
          <t>Application-based Set Theory Problems</t>
        </is>
      </c>
      <c r="D3" s="4" t="inlineStr">
        <is>
          <t>If A = {1, 2, 3} and B = {2, 4, 6}, find the number of elements in (A ∪ B) - (A ∩ B).</t>
        </is>
      </c>
      <c r="E3" s="4" t="inlineStr">
        <is>
          <t>5</t>
        </is>
      </c>
      <c r="F3" s="4" t="inlineStr">
        <is>
          <t>7</t>
        </is>
      </c>
      <c r="G3" s="4" t="inlineStr">
        <is>
          <t>9</t>
        </is>
      </c>
      <c r="H3" s="4" t="inlineStr">
        <is>
          <t>11</t>
        </is>
      </c>
      <c r="I3" s="5" t="inlineStr">
        <is>
          <t>D</t>
        </is>
      </c>
      <c r="J3" s="6" t="inlineStr">
        <is>
          <t>Use set operations to solve.</t>
        </is>
      </c>
    </row>
    <row r="4" ht="42" customHeight="1">
      <c r="A4" s="2" t="n">
        <v>2</v>
      </c>
      <c r="B4" s="2" t="inlineStr">
        <is>
          <t>Hard</t>
        </is>
      </c>
      <c r="C4" s="4" t="inlineStr">
        <is>
          <t>Application-based Set Theory Problems</t>
        </is>
      </c>
      <c r="D4" s="4" t="inlineStr">
        <is>
          <t>Let R be a relation on the set A = {1, 2, 3} defined by R = {(1, 1), (1, 2), (2, 3)}. Find the number of equivalence classes in A/R.</t>
        </is>
      </c>
      <c r="E4" s="4" t="inlineStr">
        <is>
          <t>2</t>
        </is>
      </c>
      <c r="F4" s="4" t="inlineStr">
        <is>
          <t>3</t>
        </is>
      </c>
      <c r="G4" s="4" t="inlineStr">
        <is>
          <t>4</t>
        </is>
      </c>
      <c r="H4" s="4" t="inlineStr">
        <is>
          <t>5</t>
        </is>
      </c>
      <c r="I4" s="5" t="inlineStr">
        <is>
          <t>A</t>
        </is>
      </c>
      <c r="J4" s="6" t="inlineStr">
        <is>
          <t>Use partitioning to solve.</t>
        </is>
      </c>
    </row>
    <row r="5" ht="42" customHeight="1">
      <c r="A5" s="2" t="n">
        <v>3</v>
      </c>
      <c r="B5" s="2" t="inlineStr">
        <is>
          <t>Hard</t>
        </is>
      </c>
      <c r="C5" s="4" t="inlineStr">
        <is>
          <t>Application-based Set Theory Problems</t>
        </is>
      </c>
      <c r="D5" s="4" t="inlineStr">
        <is>
          <t>If A and B are sets such that</t>
        </is>
      </c>
      <c r="E5" s="4" t="inlineStr">
        <is>
          <t>A</t>
        </is>
      </c>
      <c r="F5" s="4">
        <f> 12,</f>
        <v/>
      </c>
      <c r="G5" s="4" t="inlineStr">
        <is>
          <t>B</t>
        </is>
      </c>
      <c r="H5" s="4">
        <f> 8, and</f>
        <v/>
      </c>
      <c r="I5" s="5" t="inlineStr">
        <is>
          <t>A</t>
        </is>
      </c>
      <c r="J5" s="6">
        <f> 4, find the number of elements in (A ∪ B)'.</f>
        <v/>
      </c>
    </row>
    <row r="6" ht="42" customHeight="1">
      <c r="A6" s="2" t="n">
        <v>4</v>
      </c>
      <c r="B6" s="2" t="inlineStr">
        <is>
          <t>Hard</t>
        </is>
      </c>
      <c r="C6" s="4" t="inlineStr">
        <is>
          <t>Set Identities and Properties</t>
        </is>
      </c>
      <c r="D6" s="4" t="inlineStr">
        <is>
          <t>If P(A) = 0.6, P(B) = 0.4, and P(A ∪ B) = 0.8, find P(A ∩ B)</t>
        </is>
      </c>
      <c r="E6" s="4" t="inlineStr">
        <is>
          <t>0.2</t>
        </is>
      </c>
      <c r="F6" s="4" t="inlineStr">
        <is>
          <t>0.1</t>
        </is>
      </c>
      <c r="G6" s="4" t="inlineStr">
        <is>
          <t>0.4</t>
        </is>
      </c>
      <c r="H6" s="4" t="inlineStr">
        <is>
          <t>0.3</t>
        </is>
      </c>
      <c r="I6" s="5" t="inlineStr">
        <is>
          <t>A</t>
        </is>
      </c>
      <c r="J6" s="6" t="inlineStr">
        <is>
          <t>Use inclusion-exclusion principle: P(A ∩ B) = P(A) + P(B) - P(A ∪ B).</t>
        </is>
      </c>
    </row>
    <row r="7" ht="42" customHeight="1">
      <c r="A7" s="2" t="n">
        <v>5</v>
      </c>
      <c r="B7" s="2" t="inlineStr">
        <is>
          <t>Hard</t>
        </is>
      </c>
      <c r="C7" s="4" t="inlineStr">
        <is>
          <t>Set Identities and Properties</t>
        </is>
      </c>
      <c r="D7" s="4" t="inlineStr">
        <is>
          <t>If P(A) = 0.7, P(B) = 0.5, and P(A ∩ B) = 0.3, find P(A' ∪ B')</t>
        </is>
      </c>
      <c r="E7" s="4" t="inlineStr">
        <is>
          <t>0.6</t>
        </is>
      </c>
      <c r="F7" s="4" t="inlineStr">
        <is>
          <t>0.4</t>
        </is>
      </c>
      <c r="G7" s="4" t="inlineStr">
        <is>
          <t>0.2</t>
        </is>
      </c>
      <c r="H7" s="4" t="inlineStr">
        <is>
          <t>0.1</t>
        </is>
      </c>
      <c r="I7" s="5" t="inlineStr">
        <is>
          <t>C</t>
        </is>
      </c>
      <c r="J7" s="6" t="inlineStr">
        <is>
          <t>Use De Morgan's laws: P(A' ∪ B') = 1 - P(A ∩ B).</t>
        </is>
      </c>
    </row>
    <row r="8" ht="42" customHeight="1">
      <c r="A8" s="2" t="n">
        <v>6</v>
      </c>
      <c r="B8" s="2" t="inlineStr">
        <is>
          <t>Hard</t>
        </is>
      </c>
      <c r="C8" s="4" t="inlineStr">
        <is>
          <t>Operations on Sets (union, intersection, difference)</t>
        </is>
      </c>
      <c r="D8" s="4" t="inlineStr">
        <is>
          <t>Let U be the universal set containing sets A and B. If</t>
        </is>
      </c>
      <c r="E8" s="4" t="inlineStr">
        <is>
          <t>A ∩ B</t>
        </is>
      </c>
      <c r="F8" s="4">
        <f> 3 and</f>
        <v/>
      </c>
      <c r="G8" s="4" t="inlineStr">
        <is>
          <t>A ∪ B</t>
        </is>
      </c>
      <c r="H8" s="4">
        <f> 7, find</f>
        <v/>
      </c>
      <c r="I8" s="5" t="inlineStr">
        <is>
          <t>A</t>
        </is>
      </c>
      <c r="J8" s="6" t="inlineStr"/>
    </row>
    <row r="9" ht="42" customHeight="1">
      <c r="A9" s="2" t="n">
        <v>7</v>
      </c>
      <c r="B9" s="2" t="inlineStr">
        <is>
          <t>Hard</t>
        </is>
      </c>
      <c r="C9" s="4" t="inlineStr">
        <is>
          <t>Operations on Sets (union, intersection, difference)</t>
        </is>
      </c>
      <c r="D9" s="4" t="inlineStr">
        <is>
          <t>If A and B are sets such that</t>
        </is>
      </c>
      <c r="E9" s="4" t="inlineStr">
        <is>
          <t>A ∪ B</t>
        </is>
      </c>
      <c r="F9" s="4">
        <f> 15 and</f>
        <v/>
      </c>
      <c r="G9" s="4" t="inlineStr">
        <is>
          <t>A ∩ B</t>
        </is>
      </c>
      <c r="H9" s="4">
        <f> 5, find</f>
        <v/>
      </c>
      <c r="I9" s="5" t="inlineStr">
        <is>
          <t>A</t>
        </is>
      </c>
      <c r="J9" s="6" t="inlineStr"/>
    </row>
    <row r="10" ht="42" customHeight="1">
      <c r="A10" s="2" t="n">
        <v>8</v>
      </c>
      <c r="B10" s="2" t="inlineStr">
        <is>
          <t>Hard</t>
        </is>
      </c>
      <c r="C10" s="4" t="inlineStr">
        <is>
          <t>Complement of Sets</t>
        </is>
      </c>
      <c r="D10" s="4" t="inlineStr">
        <is>
          <t>Let U be the universal set and A, B subsets of U. If</t>
        </is>
      </c>
      <c r="E10" s="4" t="inlineStr">
        <is>
          <t>A ∩ B</t>
        </is>
      </c>
      <c r="F10" s="4">
        <f> 3 and</f>
        <v/>
      </c>
      <c r="G10" s="4" t="inlineStr">
        <is>
          <t>A ∪ B</t>
        </is>
      </c>
      <c r="H10" s="4">
        <f> 7, find</f>
        <v/>
      </c>
      <c r="I10" s="5" t="inlineStr">
        <is>
          <t>A</t>
        </is>
      </c>
      <c r="J10" s="6" t="inlineStr"/>
    </row>
    <row r="11" ht="42" customHeight="1">
      <c r="A11" s="2" t="n">
        <v>9</v>
      </c>
      <c r="B11" s="2" t="inlineStr">
        <is>
          <t>Hard</t>
        </is>
      </c>
      <c r="C11" s="4" t="inlineStr">
        <is>
          <t>Complement of Sets</t>
        </is>
      </c>
      <c r="D11" s="4" t="inlineStr">
        <is>
          <t>Let U be a universal set and A, B subsets of U. If</t>
        </is>
      </c>
      <c r="E11" s="4" t="inlineStr">
        <is>
          <t>A ∪ B</t>
        </is>
      </c>
      <c r="F11" s="4">
        <f> 10 and</f>
        <v/>
      </c>
      <c r="G11" s="4" t="inlineStr">
        <is>
          <t>A' ∩ B'</t>
        </is>
      </c>
      <c r="H11" s="4">
        <f> 2, find</f>
        <v/>
      </c>
      <c r="I11" s="5" t="inlineStr">
        <is>
          <t>A</t>
        </is>
      </c>
      <c r="J11" s="6" t="inlineStr"/>
    </row>
    <row r="12" ht="42" customHeight="1">
      <c r="A12" s="2" t="n">
        <v>10</v>
      </c>
      <c r="B12" s="2" t="inlineStr">
        <is>
          <t>Hard</t>
        </is>
      </c>
      <c r="C12" s="4" t="inlineStr">
        <is>
          <t>Basic Set Concepts (elements, subsets, types of sets)</t>
        </is>
      </c>
      <c r="D12" s="4" t="inlineStr">
        <is>
          <t>Let U be the universal set containing all integers. Which of the following is true about the set A = {x</t>
        </is>
      </c>
      <c r="E12" s="4" t="inlineStr">
        <is>
          <t>x is an even integer}?</t>
        </is>
      </c>
      <c r="F12" s="4" t="inlineStr">
        <is>
          <t>A contains only prime numbers</t>
        </is>
      </c>
      <c r="G12" s="4" t="inlineStr">
        <is>
          <t>B contains only odd numbers</t>
        </is>
      </c>
      <c r="H12" s="4" t="inlineStr">
        <is>
          <t>C contains only integers divisible by 4</t>
        </is>
      </c>
      <c r="I12" s="5" t="inlineStr">
        <is>
          <t>D</t>
        </is>
      </c>
      <c r="J12" s="6" t="inlineStr">
        <is>
          <t>C</t>
        </is>
      </c>
    </row>
    <row r="13" ht="42" customHeight="1">
      <c r="A13" s="2" t="n">
        <v>11</v>
      </c>
      <c r="B13" s="2" t="inlineStr">
        <is>
          <t>Hard</t>
        </is>
      </c>
      <c r="C13" s="4" t="inlineStr">
        <is>
          <t>Basic Set Concepts (elements, subsets, types of sets)</t>
        </is>
      </c>
      <c r="D13" s="4" t="inlineStr">
        <is>
          <t>Given sets A = {1, 2, 3} and B = {2, 3, 4}, find the set C such that A ∩ C = B and A ∪ C is a subset of U = {1, 2, ..., 6}.</t>
        </is>
      </c>
      <c r="E13" s="4" t="inlineStr">
        <is>
          <t>C = {2, 3}</t>
        </is>
      </c>
      <c r="F13" s="4" t="inlineStr">
        <is>
          <t>C = {1, 4, 5, 6}</t>
        </is>
      </c>
      <c r="G13" s="4" t="inlineStr">
        <is>
          <t>C = {2, 3, 4, 5}</t>
        </is>
      </c>
      <c r="H13" s="4" t="inlineStr">
        <is>
          <t>C = {1, 2, 3, 4, 5, 6}</t>
        </is>
      </c>
      <c r="I13" s="5" t="inlineStr">
        <is>
          <t>A</t>
        </is>
      </c>
      <c r="J13" s="6" t="inlineStr">
        <is>
          <t>The intersection of A and C is B, so C must contain only elements in common with B. The union of A and C is a subset of U, so C cannot contain any elements greater than 4.</t>
        </is>
      </c>
    </row>
    <row r="14" ht="42" customHeight="1">
      <c r="A14" s="2" t="n">
        <v>12</v>
      </c>
      <c r="B14" s="2" t="inlineStr">
        <is>
          <t>Hard</t>
        </is>
      </c>
      <c r="C14" s="4" t="inlineStr">
        <is>
          <t>Basic Set Concepts (elements, subsets, types of sets)</t>
        </is>
      </c>
      <c r="D14" s="4" t="inlineStr">
        <is>
          <t>Let S be the set of all students in a university, and let T be the set of all students who have taken mathematics. Which of the following statements about the sets S and T is true?</t>
        </is>
      </c>
      <c r="E14" s="4" t="inlineStr">
        <is>
          <t>The number of students taking mathematics is equal to the number of students in the university minus the number of students not taking mathematics.</t>
        </is>
      </c>
      <c r="F14" s="4" t="inlineStr">
        <is>
          <t>The number of students taking mathematics is less than or equal to the number of students in the university minus the number of students not taking mathematics.</t>
        </is>
      </c>
      <c r="G14" s="4" t="inlineStr">
        <is>
          <t>The number of students taking mathematics is greater than the number of students in the university minus the number of students not taking mathematics.</t>
        </is>
      </c>
      <c r="H14" s="4" t="inlineStr">
        <is>
          <t>The number of students taking mathematics is equal to the number of students in the university plus the number of students not taking mathematics.</t>
        </is>
      </c>
      <c r="I14" s="5" t="inlineStr">
        <is>
          <t>B</t>
        </is>
      </c>
      <c r="J14" s="6" t="inlineStr">
        <is>
          <t>This statement describes the principle that the number of students taking mathematics is equal to the total number of students minus those who are not taking mathematics.</t>
        </is>
      </c>
    </row>
    <row r="15" ht="42" customHeight="1">
      <c r="A15" s="2" t="n">
        <v>13</v>
      </c>
      <c r="B15" s="2" t="inlineStr">
        <is>
          <t>Hard</t>
        </is>
      </c>
      <c r="C15" s="4" t="inlineStr">
        <is>
          <t>Basic Set Concepts (elements, subsets, types of sets)</t>
        </is>
      </c>
      <c r="D15" s="4" t="inlineStr">
        <is>
          <t>Given sets A = {1, 2} and B = {2, 3}, find the set C such that A ⊆ C and B ⊆ C. What is the minimum number of elements in set C?</t>
        </is>
      </c>
      <c r="E15" s="4" t="inlineStr">
        <is>
          <t>C has at least 4 elements</t>
        </is>
      </c>
      <c r="F15" s="4" t="inlineStr">
        <is>
          <t>C has exactly 3 elements</t>
        </is>
      </c>
      <c r="G15" s="4" t="inlineStr">
        <is>
          <t>C has at most 2 elements</t>
        </is>
      </c>
      <c r="H15" s="4" t="inlineStr">
        <is>
          <t>C has exactly 1 element</t>
        </is>
      </c>
      <c r="I15" s="5" t="inlineStr">
        <is>
          <t>D</t>
        </is>
      </c>
      <c r="J15" s="6" t="inlineStr">
        <is>
          <t>The smallest possible set C must contain all elements from both A and B, which means it must have at least 3 elements.</t>
        </is>
      </c>
    </row>
    <row r="16" ht="42" customHeight="1">
      <c r="A16" s="2" t="n">
        <v>14</v>
      </c>
      <c r="B16" s="2" t="inlineStr">
        <is>
          <t>Hard</t>
        </is>
      </c>
      <c r="C16" s="4" t="inlineStr">
        <is>
          <t>Word Problems using Sets</t>
        </is>
      </c>
      <c r="D16" s="4" t="inlineStr">
        <is>
          <t>A bakery offers a discount on bulk orders. If buying 3 sets of cookies costs $18, and buying 2 sets of cookies costs $12, how much does one set of cookies cost?</t>
        </is>
      </c>
      <c r="E16" s="4" t="inlineStr">
        <is>
          <t>$6</t>
        </is>
      </c>
      <c r="F16" s="4" t="inlineStr">
        <is>
          <t>$4</t>
        </is>
      </c>
      <c r="G16" s="4" t="inlineStr">
        <is>
          <t>$9</t>
        </is>
      </c>
      <c r="H16" s="4" t="inlineStr">
        <is>
          <t>$8</t>
        </is>
      </c>
      <c r="I16" s="5" t="inlineStr">
        <is>
          <t>D</t>
        </is>
      </c>
      <c r="J16" s="6" t="inlineStr">
        <is>
          <t>Use the ratio of prices to find the price of one set of cookies.</t>
        </is>
      </c>
    </row>
    <row r="17" ht="42" customHeight="1">
      <c r="A17" s="2" t="n">
        <v>15</v>
      </c>
      <c r="B17" s="2" t="inlineStr">
        <is>
          <t>Hard</t>
        </is>
      </c>
      <c r="C17" s="4" t="inlineStr">
        <is>
          <t>Word Problems using Sets</t>
        </is>
      </c>
      <c r="D17" s="4" t="inlineStr">
        <is>
          <t>A company has two types of employees: full-time and part-time. If 3/5 of the employees are full-time, and 1/2 of the full-time employees are also part-time, what fraction of all employees are both full-time and part-time?</t>
        </is>
      </c>
      <c r="E17" s="4" t="inlineStr">
        <is>
          <t>1/10</t>
        </is>
      </c>
      <c r="F17" s="4" t="inlineStr">
        <is>
          <t>1/5</t>
        </is>
      </c>
      <c r="G17" s="4" t="inlineStr">
        <is>
          <t>1/4</t>
        </is>
      </c>
      <c r="H17" s="4" t="inlineStr">
        <is>
          <t>3/20</t>
        </is>
      </c>
      <c r="I17" s="5" t="inlineStr">
        <is>
          <t>A</t>
        </is>
      </c>
      <c r="J17" s="6" t="inlineStr">
        <is>
          <t>Use Venn diagrams to find the intersection of sets.</t>
        </is>
      </c>
    </row>
    <row r="18" ht="42" customHeight="1">
      <c r="A18" s="2" t="n">
        <v>16</v>
      </c>
      <c r="B18" s="2" t="inlineStr">
        <is>
          <t>Hard</t>
        </is>
      </c>
      <c r="C18" s="4" t="inlineStr">
        <is>
          <t>Word Problems using Sets</t>
        </is>
      </c>
      <c r="D18" s="4" t="inlineStr">
        <is>
          <t>A library has three sections: fiction, non-fiction, and biographies. If 2/3 of the books are either fiction or biographies, and 1/5 of the books are only biographies, what fraction of the books are either fiction or biographies?</t>
        </is>
      </c>
      <c r="E18" s="4" t="inlineStr">
        <is>
          <t>2/3</t>
        </is>
      </c>
      <c r="F18" s="4" t="inlineStr">
        <is>
          <t>1/2</t>
        </is>
      </c>
      <c r="G18" s="4" t="inlineStr">
        <is>
          <t>1/4</t>
        </is>
      </c>
      <c r="H18" s="4" t="inlineStr">
        <is>
          <t>1/5</t>
        </is>
      </c>
      <c r="I18" s="5" t="inlineStr">
        <is>
          <t>D</t>
        </is>
      </c>
      <c r="J18" s="6" t="inlineStr">
        <is>
          <t>Use set operations to find the union of sets.</t>
        </is>
      </c>
    </row>
    <row r="19" ht="42" customHeight="1">
      <c r="A19" s="2" t="n">
        <v>17</v>
      </c>
      <c r="B19" s="2" t="inlineStr">
        <is>
          <t>Hard</t>
        </is>
      </c>
      <c r="C19" s="4" t="inlineStr">
        <is>
          <t>Word Problems using Sets</t>
        </is>
      </c>
      <c r="D19" s="4" t="inlineStr">
        <is>
          <t>A student has two bags: one for math and one for science. If 3/4 of the books are only for math, and 1/2 of the books are only for science, what fraction of the books are for either math or science?</t>
        </is>
      </c>
      <c r="E19" s="4" t="inlineStr">
        <is>
          <t>3/8</t>
        </is>
      </c>
      <c r="F19" s="4" t="inlineStr">
        <is>
          <t>1/2</t>
        </is>
      </c>
      <c r="G19" s="4" t="inlineStr">
        <is>
          <t>1/4</t>
        </is>
      </c>
      <c r="H19" s="4" t="inlineStr">
        <is>
          <t>3/16</t>
        </is>
      </c>
      <c r="I19" s="5" t="inlineStr">
        <is>
          <t>C</t>
        </is>
      </c>
      <c r="J19" s="6" t="inlineStr">
        <is>
          <t>Use set operations to find the union of sets.</t>
        </is>
      </c>
    </row>
    <row r="20" ht="42" customHeight="1">
      <c r="A20" s="2" t="n">
        <v>18</v>
      </c>
      <c r="B20" s="2" t="inlineStr">
        <is>
          <t>Hard</t>
        </is>
      </c>
      <c r="C20" s="4" t="inlineStr">
        <is>
          <t>Cardinality of Sets</t>
        </is>
      </c>
      <c r="D20" s="4" t="inlineStr">
        <is>
          <t>Let A and B be infinite sets. If</t>
        </is>
      </c>
      <c r="E20" s="4" t="inlineStr">
        <is>
          <t>A ∪ B</t>
        </is>
      </c>
      <c r="F20" s="4" t="inlineStr">
        <is>
          <t>=</t>
        </is>
      </c>
      <c r="G20" s="4" t="inlineStr">
        <is>
          <t>A</t>
        </is>
      </c>
      <c r="H20" s="4" t="inlineStr">
        <is>
          <t>+</t>
        </is>
      </c>
      <c r="I20" s="5" t="inlineStr">
        <is>
          <t>B</t>
        </is>
      </c>
      <c r="J20" s="6" t="inlineStr">
        <is>
          <t>-</t>
        </is>
      </c>
    </row>
    <row r="21" ht="42" customHeight="1">
      <c r="A21" s="2" t="n">
        <v>19</v>
      </c>
      <c r="B21" s="2" t="inlineStr">
        <is>
          <t>Hard</t>
        </is>
      </c>
      <c r="C21" s="4" t="inlineStr">
        <is>
          <t>Cardinality of Sets</t>
        </is>
      </c>
      <c r="D21" s="4" t="inlineStr">
        <is>
          <t>If A and B are sets such that</t>
        </is>
      </c>
      <c r="E21" s="4" t="inlineStr">
        <is>
          <t>A</t>
        </is>
      </c>
      <c r="F21" s="4" t="inlineStr">
        <is>
          <t>&lt;</t>
        </is>
      </c>
      <c r="G21" s="4" t="inlineStr">
        <is>
          <t>B</t>
        </is>
      </c>
      <c r="H21" s="4" t="inlineStr">
        <is>
          <t>, then which of the following must be true?</t>
        </is>
      </c>
      <c r="I21" s="5" t="inlineStr">
        <is>
          <t>A</t>
        </is>
      </c>
      <c r="J21" s="6" t="inlineStr">
        <is>
          <t>P(A)</t>
        </is>
      </c>
    </row>
    <row r="22" ht="42" customHeight="1">
      <c r="A22" s="2" t="n">
        <v>20</v>
      </c>
      <c r="B22" s="2" t="inlineStr">
        <is>
          <t>Hard</t>
        </is>
      </c>
      <c r="C22" s="4" t="inlineStr">
        <is>
          <t>Cardinality of Sets</t>
        </is>
      </c>
      <c r="D22" s="4" t="inlineStr">
        <is>
          <t>Let A and B be sets. If</t>
        </is>
      </c>
      <c r="E22" s="4" t="inlineStr">
        <is>
          <t>A × B</t>
        </is>
      </c>
      <c r="F22" s="4" t="inlineStr">
        <is>
          <t>=</t>
        </is>
      </c>
      <c r="G22" s="4" t="inlineStr">
        <is>
          <t>A</t>
        </is>
      </c>
      <c r="H22" s="4" t="inlineStr">
        <is>
          <t>×</t>
        </is>
      </c>
      <c r="I22" s="5" t="inlineStr">
        <is>
          <t>B</t>
        </is>
      </c>
      <c r="J22" s="6" t="inlineStr">
        <is>
          <t>, which of the following must be true?</t>
        </is>
      </c>
    </row>
    <row r="23" ht="42" customHeight="1">
      <c r="A23" s="2" t="n">
        <v>21</v>
      </c>
      <c r="B23" s="2" t="inlineStr">
        <is>
          <t>Hard</t>
        </is>
      </c>
      <c r="C23" s="4" t="inlineStr">
        <is>
          <t>Venn Diagram Problems (2 sets)</t>
        </is>
      </c>
      <c r="D23" s="4" t="inlineStr">
        <is>
          <t>Let U be the universal set, A and B be two non-empty subsets. If</t>
        </is>
      </c>
      <c r="E23" s="4" t="inlineStr">
        <is>
          <t>A ∩ B</t>
        </is>
      </c>
      <c r="F23" s="4">
        <f> 3,</f>
        <v/>
      </c>
      <c r="G23" s="4" t="inlineStr">
        <is>
          <t>A c</t>
        </is>
      </c>
      <c r="H23" s="4">
        <f> 5, and</f>
        <v/>
      </c>
      <c r="I23" s="5" t="inlineStr">
        <is>
          <t>B</t>
        </is>
      </c>
      <c r="J23" s="6">
        <f> 7, find</f>
        <v/>
      </c>
    </row>
    <row r="24" ht="42" customHeight="1">
      <c r="A24" s="2" t="n">
        <v>22</v>
      </c>
      <c r="B24" s="2" t="inlineStr">
        <is>
          <t>Hard</t>
        </is>
      </c>
      <c r="C24" s="4" t="inlineStr">
        <is>
          <t>Venn Diagram Problems (2 sets)</t>
        </is>
      </c>
      <c r="D24" s="4" t="inlineStr">
        <is>
          <t>In a Venn diagram, let A and B be two non-empty subsets. If</t>
        </is>
      </c>
      <c r="E24" s="4" t="inlineStr">
        <is>
          <t>A ∩ B</t>
        </is>
      </c>
      <c r="F24" s="4">
        <f> 4,</f>
        <v/>
      </c>
      <c r="G24" s="4" t="inlineStr">
        <is>
          <t>A c</t>
        </is>
      </c>
      <c r="H24" s="4">
        <f> 6, and</f>
        <v/>
      </c>
      <c r="I24" s="5" t="inlineStr">
        <is>
          <t>B</t>
        </is>
      </c>
      <c r="J24" s="6">
        <f> 8, find</f>
        <v/>
      </c>
    </row>
    <row r="25" ht="42" customHeight="1">
      <c r="A25" s="2" t="n">
        <v>23</v>
      </c>
      <c r="B25" s="2" t="inlineStr">
        <is>
          <t>Hard</t>
        </is>
      </c>
      <c r="C25" s="4" t="inlineStr">
        <is>
          <t>Venn Diagram Problems (2 sets)</t>
        </is>
      </c>
      <c r="D25" s="4" t="inlineStr">
        <is>
          <t>Let A and B be two non-empty subsets. If</t>
        </is>
      </c>
      <c r="E25" s="4" t="inlineStr">
        <is>
          <t>A ∩ B</t>
        </is>
      </c>
      <c r="F25" s="4">
        <f> 5,</f>
        <v/>
      </c>
      <c r="G25" s="4" t="inlineStr">
        <is>
          <t>A c</t>
        </is>
      </c>
      <c r="H25" s="4">
        <f> 3, and</f>
        <v/>
      </c>
      <c r="I25" s="5" t="inlineStr">
        <is>
          <t>B</t>
        </is>
      </c>
      <c r="J25" s="6">
        <f> 9, find</f>
        <v/>
      </c>
    </row>
    <row r="26" ht="42" customHeight="1">
      <c r="A26" s="2" t="n">
        <v>24</v>
      </c>
      <c r="B26" s="2" t="inlineStr">
        <is>
          <t>Hard</t>
        </is>
      </c>
      <c r="C26" s="4" t="inlineStr">
        <is>
          <t>Venn Diagram Problems (3 sets)</t>
        </is>
      </c>
      <c r="D26" s="4" t="inlineStr">
        <is>
          <t>Three sets U, A, and B satisfy UAUB. If</t>
        </is>
      </c>
      <c r="E26" s="4" t="inlineStr">
        <is>
          <t>U</t>
        </is>
      </c>
      <c r="F26" s="4">
        <f>10,</f>
        <v/>
      </c>
      <c r="G26" s="4" t="inlineStr">
        <is>
          <t>A</t>
        </is>
      </c>
      <c r="H26" s="4">
        <f>5, and</f>
        <v/>
      </c>
      <c r="I26" s="5" t="inlineStr">
        <is>
          <t>B</t>
        </is>
      </c>
      <c r="J26" s="6">
        <f>6, find</f>
        <v/>
      </c>
    </row>
    <row r="27" ht="42" customHeight="1">
      <c r="A27" s="2" t="n">
        <v>25</v>
      </c>
      <c r="B27" s="2" t="inlineStr">
        <is>
          <t>Hard</t>
        </is>
      </c>
      <c r="C27" s="4" t="inlineStr">
        <is>
          <t>Venn Diagram Problems (3 sets)</t>
        </is>
      </c>
      <c r="D27" s="4" t="inlineStr">
        <is>
          <t>In a Venn diagram with three overlapping sets,</t>
        </is>
      </c>
      <c r="E27" s="4" t="inlineStr">
        <is>
          <t>A</t>
        </is>
      </c>
      <c r="F27" s="4">
        <f>8,</f>
        <v/>
      </c>
      <c r="G27" s="4" t="inlineStr">
        <is>
          <t>B</t>
        </is>
      </c>
      <c r="H27" s="4">
        <f>12, and</f>
        <v/>
      </c>
      <c r="I27" s="5" t="inlineStr">
        <is>
          <t>A</t>
        </is>
      </c>
      <c r="J27" s="6">
        <f>6. If</f>
        <v/>
      </c>
    </row>
    <row r="28" ht="42" customHeight="1">
      <c r="A28" s="2" t="n">
        <v>26</v>
      </c>
      <c r="B28" s="2" t="inlineStr">
        <is>
          <t>Hard</t>
        </is>
      </c>
      <c r="C28" s="4" t="inlineStr">
        <is>
          <t>De Morgan’s Laws</t>
        </is>
      </c>
      <c r="D28" s="4" t="inlineStr">
        <is>
          <t>Let U be the universal set, A and B be subsets. If A ∩ B' = φ and A' ∩ B = φ, then which of the following is true?</t>
        </is>
      </c>
      <c r="E28" s="4" t="inlineStr">
        <is>
          <t>A' ∪ B' = U'</t>
        </is>
      </c>
      <c r="F28" s="4" t="inlineStr">
        <is>
          <t>B' ∩ (A ∪ B) = φ</t>
        </is>
      </c>
      <c r="G28" s="4" t="inlineStr">
        <is>
          <t>A ∪ B' = U</t>
        </is>
      </c>
      <c r="H28" s="4" t="inlineStr">
        <is>
          <t>A ∩ B = U</t>
        </is>
      </c>
      <c r="I28" s="5" t="inlineStr">
        <is>
          <t>D</t>
        </is>
      </c>
      <c r="J28" s="6" t="inlineStr">
        <is>
          <t>A' ∩ B' = U</t>
        </is>
      </c>
    </row>
    <row r="29" ht="42" customHeight="1">
      <c r="A29" s="2" t="n">
        <v>27</v>
      </c>
      <c r="B29" s="2" t="inlineStr">
        <is>
          <t>Hard</t>
        </is>
      </c>
      <c r="C29" s="4" t="inlineStr">
        <is>
          <t>De Morgan’s Laws</t>
        </is>
      </c>
      <c r="D29" s="4" t="inlineStr">
        <is>
          <t>(P ∧ Q)' and P' ∨ Q' are equivalent to which of the following?</t>
        </is>
      </c>
      <c r="E29" s="4" t="inlineStr">
        <is>
          <t>¬(P ∨ Q)</t>
        </is>
      </c>
      <c r="F29" s="4" t="inlineStr">
        <is>
          <t>P ∧ ¬Q</t>
        </is>
      </c>
      <c r="G29" s="4" t="inlineStr">
        <is>
          <t>P ∨ ¬Q</t>
        </is>
      </c>
      <c r="H29" s="4" t="inlineStr">
        <is>
          <t>P ∧ Q</t>
        </is>
      </c>
      <c r="I29" s="5" t="inlineStr">
        <is>
          <t>B</t>
        </is>
      </c>
      <c r="J29" s="6" t="inlineStr">
        <is>
          <t>(P ∧ Q) ∨ (P ∧ ¬Q)</t>
        </is>
      </c>
    </row>
    <row r="30" ht="42" customHeight="1">
      <c r="A30" s="2" t="n">
        <v>28</v>
      </c>
      <c r="B30" s="2" t="inlineStr">
        <is>
          <t>Hard</t>
        </is>
      </c>
      <c r="C30" s="4" t="inlineStr">
        <is>
          <t>De Morgan’s Laws</t>
        </is>
      </c>
      <c r="D30" s="4" t="inlineStr">
        <is>
          <t>Let A, B, C be subsets. If A ∩ (B ∪ C)' = φ and A' ∩ (B ∩ C) = φ, then which of the following is true?</t>
        </is>
      </c>
      <c r="E30" s="4" t="inlineStr">
        <is>
          <t>A ∪ (B ∩ C) = U'</t>
        </is>
      </c>
      <c r="F30" s="4" t="inlineStr">
        <is>
          <t>(A ∪ B) ∩ (A ∪ C) = U</t>
        </is>
      </c>
      <c r="G30" s="4" t="inlineStr">
        <is>
          <t>A ∩ (B ∪ C) = U</t>
        </is>
      </c>
      <c r="H30" s="4" t="inlineStr">
        <is>
          <t>(A ∪ B)' ∩ (A ∪ C)' = U</t>
        </is>
      </c>
      <c r="I30" s="5" t="inlineStr">
        <is>
          <t>D</t>
        </is>
      </c>
      <c r="J30" s="6" t="inlineStr">
        <is>
          <t>(A ∩ B) ∪ (A ∩ C) = U</t>
        </is>
      </c>
    </row>
    <row r="31" ht="42" customHeight="1">
      <c r="A31" s="2" t="n">
        <v>29</v>
      </c>
      <c r="B31" s="2" t="inlineStr">
        <is>
          <t>Hard</t>
        </is>
      </c>
      <c r="C31" s="4" t="inlineStr">
        <is>
          <t>De Morgan’s Laws</t>
        </is>
      </c>
      <c r="D31" s="4" t="inlineStr">
        <is>
          <t>Let A, B be subsets. If P:=(A ∩ B)' and Q:=(A' ∩ B')', then which of the following is true?</t>
        </is>
      </c>
      <c r="E31" s="4" t="inlineStr">
        <is>
          <t>P ∧ Q = φ'</t>
        </is>
      </c>
      <c r="F31" s="4" t="inlineStr">
        <is>
          <t>P ∨ Q = U'</t>
        </is>
      </c>
      <c r="G31" s="4" t="inlineStr">
        <is>
          <t>P ∧ ¬Q = U</t>
        </is>
      </c>
      <c r="H31" s="4" t="inlineStr">
        <is>
          <t>P ∨ Q = φ</t>
        </is>
      </c>
      <c r="I31" s="5" t="inlineStr">
        <is>
          <t>C</t>
        </is>
      </c>
      <c r="J31" s="6" t="inlineStr">
        <is>
          <t>(P ∧ Q) = U</t>
        </is>
      </c>
    </row>
    <row r="32" ht="42" customHeight="1">
      <c r="A32" s="2" t="n">
        <v>30</v>
      </c>
      <c r="B32" s="2" t="inlineStr">
        <is>
          <t>Hard</t>
        </is>
      </c>
      <c r="C32" s="4" t="inlineStr">
        <is>
          <t>Application-based Set Theory Problems</t>
        </is>
      </c>
      <c r="D32" s="4" t="inlineStr">
        <is>
          <t>In a certain city, 60% of the population has brown eyes, 70% have blue eyes, and 10% have both. Find the percentage of people with neither brown nor blue eyes.</t>
        </is>
      </c>
      <c r="E32" s="4" t="inlineStr">
        <is>
          <t>40</t>
        </is>
      </c>
      <c r="F32" s="4" t="inlineStr">
        <is>
          <t>30</t>
        </is>
      </c>
      <c r="G32" s="4" t="inlineStr">
        <is>
          <t>20</t>
        </is>
      </c>
      <c r="H32" s="4" t="inlineStr">
        <is>
          <t>10</t>
        </is>
      </c>
      <c r="I32" s="5" t="inlineStr">
        <is>
          <t>A</t>
        </is>
      </c>
      <c r="J32" s="6" t="inlineStr">
        <is>
          <t>Use set operations to find complement.</t>
        </is>
      </c>
    </row>
    <row r="33" ht="42" customHeight="1">
      <c r="A33" s="2" t="n">
        <v>31</v>
      </c>
      <c r="B33" s="2" t="inlineStr">
        <is>
          <t>Hard</t>
        </is>
      </c>
      <c r="C33" s="4" t="inlineStr">
        <is>
          <t>Application-based Set Theory Problems</t>
        </is>
      </c>
      <c r="D33" s="4" t="inlineStr">
        <is>
          <t>In a survey, 80% of students like pizza, 60% like burgers, and 50% like both. What is the percentage of students who do not like either?</t>
        </is>
      </c>
      <c r="E33" s="4" t="inlineStr">
        <is>
          <t>40</t>
        </is>
      </c>
      <c r="F33" s="4" t="inlineStr">
        <is>
          <t>30</t>
        </is>
      </c>
      <c r="G33" s="4" t="inlineStr">
        <is>
          <t>20</t>
        </is>
      </c>
      <c r="H33" s="4" t="inlineStr">
        <is>
          <t>10</t>
        </is>
      </c>
      <c r="I33" s="5" t="inlineStr">
        <is>
          <t>D</t>
        </is>
      </c>
      <c r="J33" s="6" t="inlineStr">
        <is>
          <t>Use set operations to find complement.</t>
        </is>
      </c>
    </row>
    <row r="34" ht="42" customHeight="1">
      <c r="A34" s="2" t="n">
        <v>32</v>
      </c>
      <c r="B34" s="2" t="inlineStr">
        <is>
          <t>Hard</t>
        </is>
      </c>
      <c r="C34" s="4" t="inlineStr">
        <is>
          <t>Set Identities and Properties</t>
        </is>
      </c>
      <c r="D34" s="4" t="inlineStr">
        <is>
          <t>Let U be the universal set, A and B be subsets of U. If</t>
        </is>
      </c>
      <c r="E34" s="4" t="inlineStr">
        <is>
          <t>A ∩ B</t>
        </is>
      </c>
      <c r="F34" s="4">
        <f> 10,</f>
        <v/>
      </c>
      <c r="G34" s="4" t="inlineStr">
        <is>
          <t>A c</t>
        </is>
      </c>
      <c r="H34" s="4">
        <f> 20, and</f>
        <v/>
      </c>
      <c r="I34" s="5" t="inlineStr">
        <is>
          <t>B</t>
        </is>
      </c>
      <c r="J34" s="6">
        <f> 15, find</f>
        <v/>
      </c>
    </row>
    <row r="35" ht="42" customHeight="1">
      <c r="A35" s="2" t="n">
        <v>33</v>
      </c>
      <c r="B35" s="2" t="inlineStr">
        <is>
          <t>Hard</t>
        </is>
      </c>
      <c r="C35" s="4" t="inlineStr">
        <is>
          <t>Set Identities and Properties</t>
        </is>
      </c>
      <c r="D35" s="4" t="inlineStr">
        <is>
          <t>Let A and B be sets. If</t>
        </is>
      </c>
      <c r="E35" s="4" t="inlineStr">
        <is>
          <t>A ∪ B</t>
        </is>
      </c>
      <c r="F35" s="4">
        <f> 12 and</f>
        <v/>
      </c>
      <c r="G35" s="4" t="inlineStr">
        <is>
          <t>A ∩ B</t>
        </is>
      </c>
      <c r="H35" s="4">
        <f> 4, find</f>
        <v/>
      </c>
      <c r="I35" s="5" t="inlineStr">
        <is>
          <t>A</t>
        </is>
      </c>
      <c r="J35" s="6" t="inlineStr">
        <is>
          <t>+</t>
        </is>
      </c>
    </row>
    <row r="36" ht="42" customHeight="1">
      <c r="A36" s="2" t="n">
        <v>34</v>
      </c>
      <c r="B36" s="2" t="inlineStr">
        <is>
          <t>Hard</t>
        </is>
      </c>
      <c r="C36" s="4" t="inlineStr">
        <is>
          <t>Operations on Sets (union, intersection, difference)</t>
        </is>
      </c>
      <c r="D36" s="4" t="inlineStr">
        <is>
          <t>Let A = {x</t>
        </is>
      </c>
      <c r="E36" s="4" t="inlineStr">
        <is>
          <t>x^2 ≤ 9} and B = {x</t>
        </is>
      </c>
      <c r="F36" s="4" t="inlineStr">
        <is>
          <t>-3 ≤ x ≤ 3}. Prove that A ∩ B = B.</t>
        </is>
      </c>
      <c r="G36" s="4" t="inlineStr">
        <is>
          <t>A</t>
        </is>
      </c>
      <c r="H36" s="4" t="inlineStr">
        <is>
          <t>B</t>
        </is>
      </c>
      <c r="I36" s="5" t="inlineStr">
        <is>
          <t>C</t>
        </is>
      </c>
      <c r="J36" s="6" t="inlineStr">
        <is>
          <t>D</t>
        </is>
      </c>
    </row>
    <row r="37" ht="42" customHeight="1">
      <c r="A37" s="2" t="n">
        <v>35</v>
      </c>
      <c r="B37" s="2" t="inlineStr">
        <is>
          <t>Hard</t>
        </is>
      </c>
      <c r="C37" s="4" t="inlineStr">
        <is>
          <t>Complement of Sets</t>
        </is>
      </c>
      <c r="D37" s="4" t="inlineStr">
        <is>
          <t>Let U be the universal set, and A and B be two sets such that</t>
        </is>
      </c>
      <c r="E37" s="4" t="inlineStr">
        <is>
          <t>A ∪ B</t>
        </is>
      </c>
      <c r="F37" s="4">
        <f> 10. If</f>
        <v/>
      </c>
      <c r="G37" s="4" t="inlineStr">
        <is>
          <t>A</t>
        </is>
      </c>
      <c r="H37" s="4">
        <f> 5 and</f>
        <v/>
      </c>
      <c r="I37" s="5" t="inlineStr">
        <is>
          <t>B</t>
        </is>
      </c>
      <c r="J37" s="6">
        <f> 3, find</f>
        <v/>
      </c>
    </row>
    <row r="38" ht="42" customHeight="1">
      <c r="A38" s="2" t="n">
        <v>36</v>
      </c>
      <c r="B38" s="2" t="inlineStr">
        <is>
          <t>Hard</t>
        </is>
      </c>
      <c r="C38" s="4" t="inlineStr">
        <is>
          <t>Complement of Sets</t>
        </is>
      </c>
      <c r="D38" s="4" t="inlineStr">
        <is>
          <t>In a certain set theory problem, it's given that</t>
        </is>
      </c>
      <c r="E38" s="4" t="inlineStr">
        <is>
          <t>A ∩ B^c</t>
        </is>
      </c>
      <c r="F38" s="4">
        <f> 3 and</f>
        <v/>
      </c>
      <c r="G38" s="4" t="inlineStr">
        <is>
          <t>A^c ∪ B</t>
        </is>
      </c>
      <c r="H38" s="4">
        <f> 7. If</f>
        <v/>
      </c>
      <c r="I38" s="5" t="inlineStr">
        <is>
          <t>A</t>
        </is>
      </c>
      <c r="J38" s="6" t="inlineStr">
        <is>
          <t>+</t>
        </is>
      </c>
    </row>
    <row r="39" ht="42" customHeight="1">
      <c r="A39" s="2" t="n">
        <v>37</v>
      </c>
      <c r="B39" s="2" t="inlineStr">
        <is>
          <t>Hard</t>
        </is>
      </c>
      <c r="C39" s="4" t="inlineStr">
        <is>
          <t>Complement of Sets</t>
        </is>
      </c>
      <c r="D39" s="4" t="inlineStr">
        <is>
          <t>Let S be a set with</t>
        </is>
      </c>
      <c r="E39" s="4" t="inlineStr">
        <is>
          <t>S</t>
        </is>
      </c>
      <c r="F39" s="4">
        <f> 15. If A and B are two subsets such that</f>
        <v/>
      </c>
      <c r="G39" s="4" t="inlineStr">
        <is>
          <t>A ∩ B</t>
        </is>
      </c>
      <c r="H39" s="4">
        <f> 3,</f>
        <v/>
      </c>
      <c r="I39" s="5" t="inlineStr">
        <is>
          <t>A</t>
        </is>
      </c>
      <c r="J39" s="6">
        <f> 9, and</f>
        <v/>
      </c>
    </row>
    <row r="40" ht="42" customHeight="1">
      <c r="A40" s="2" t="n">
        <v>38</v>
      </c>
      <c r="B40" s="2" t="inlineStr">
        <is>
          <t>Hard</t>
        </is>
      </c>
      <c r="C40" s="4" t="inlineStr">
        <is>
          <t>Basic Set Concepts (elements, subsets, types of sets)</t>
        </is>
      </c>
      <c r="D40" s="4" t="inlineStr">
        <is>
          <t>Let U be the universal set containing all integers. Which of the following is NOT a subset of U?</t>
        </is>
      </c>
      <c r="E40" s="4" t="inlineStr">
        <is>
          <t>All even numbers</t>
        </is>
      </c>
      <c r="F40" s="4" t="inlineStr">
        <is>
          <t>All prime numbers</t>
        </is>
      </c>
      <c r="G40" s="4" t="inlineStr">
        <is>
          <t>All odd numbers</t>
        </is>
      </c>
      <c r="H40" s="4" t="inlineStr">
        <is>
          <t>The set of all integers</t>
        </is>
      </c>
      <c r="I40" s="5" t="inlineStr">
        <is>
          <t>D</t>
        </is>
      </c>
      <c r="J40" s="6" t="inlineStr">
        <is>
          <t>The set of all integers is not a subset of itself.</t>
        </is>
      </c>
    </row>
    <row r="41" ht="42" customHeight="1">
      <c r="A41" s="2" t="n">
        <v>39</v>
      </c>
      <c r="B41" s="2" t="inlineStr">
        <is>
          <t>Hard</t>
        </is>
      </c>
      <c r="C41" s="4" t="inlineStr">
        <is>
          <t>Basic Set Concepts (elements, subsets, types of sets)</t>
        </is>
      </c>
      <c r="D41" s="4" t="inlineStr">
        <is>
          <t>If A and B are two finite sets such that</t>
        </is>
      </c>
      <c r="E41" s="4" t="inlineStr">
        <is>
          <t>A</t>
        </is>
      </c>
      <c r="F41" s="4">
        <f> 5 and</f>
        <v/>
      </c>
      <c r="G41" s="4" t="inlineStr">
        <is>
          <t>B</t>
        </is>
      </c>
      <c r="H41" s="4">
        <f> 3, what is the maximum possible value of</f>
        <v/>
      </c>
      <c r="I41" s="5" t="inlineStr">
        <is>
          <t>A</t>
        </is>
      </c>
      <c r="J41" s="6" t="inlineStr">
        <is>
          <t>?</t>
        </is>
      </c>
    </row>
    <row r="42" ht="42" customHeight="1">
      <c r="A42" s="2" t="n">
        <v>40</v>
      </c>
      <c r="B42" s="2" t="inlineStr">
        <is>
          <t>Hard</t>
        </is>
      </c>
      <c r="C42" s="4" t="inlineStr">
        <is>
          <t>Basic Set Concepts (elements, subsets, types of sets)</t>
        </is>
      </c>
      <c r="D42" s="4" t="inlineStr">
        <is>
          <t>Let A be a set containing all numbers greater than 2. Which of the following is NOT an element of A?</t>
        </is>
      </c>
      <c r="E42" s="4" t="inlineStr">
        <is>
          <t>1</t>
        </is>
      </c>
      <c r="F42" s="4" t="inlineStr">
        <is>
          <t>0</t>
        </is>
      </c>
      <c r="G42" s="4" t="inlineStr">
        <is>
          <t>-3</t>
        </is>
      </c>
      <c r="H42" s="4" t="inlineStr">
        <is>
          <t>3</t>
        </is>
      </c>
      <c r="I42" s="5" t="inlineStr">
        <is>
          <t>A</t>
        </is>
      </c>
      <c r="J42" s="6" t="inlineStr">
        <is>
          <t>Since A contains only numbers greater than 2, 1 is not in A.</t>
        </is>
      </c>
    </row>
    <row r="43" ht="42" customHeight="1">
      <c r="A43" s="2" t="n">
        <v>41</v>
      </c>
      <c r="B43" s="2" t="inlineStr">
        <is>
          <t>Hard</t>
        </is>
      </c>
      <c r="C43" s="4" t="inlineStr">
        <is>
          <t>Word Problems using Sets</t>
        </is>
      </c>
      <c r="D43" s="4" t="inlineStr">
        <is>
          <t>A company has two types of employees: full-time and part-time. The number of full-time employees is 3/5 of the total, while the number of part-time employees is 2/3 of the remaining employees. If there are 60 employees in total, how many are part-time?</t>
        </is>
      </c>
      <c r="E43" s="4" t="inlineStr">
        <is>
          <t>20</t>
        </is>
      </c>
      <c r="F43" s="4" t="inlineStr">
        <is>
          <t>30</t>
        </is>
      </c>
      <c r="G43" s="4" t="inlineStr">
        <is>
          <t>40</t>
        </is>
      </c>
      <c r="H43" s="4" t="inlineStr">
        <is>
          <t>50</t>
        </is>
      </c>
      <c r="I43" s="5" t="inlineStr">
        <is>
          <t>D</t>
        </is>
      </c>
      <c r="J43" s="6" t="inlineStr">
        <is>
          <t>Use Venn diagram to find the number of part-time employees.</t>
        </is>
      </c>
    </row>
    <row r="44" ht="42" customHeight="1">
      <c r="A44" s="2" t="n">
        <v>42</v>
      </c>
      <c r="B44" s="2" t="inlineStr">
        <is>
          <t>Hard</t>
        </is>
      </c>
      <c r="C44" s="4" t="inlineStr">
        <is>
          <t>Word Problems using Sets</t>
        </is>
      </c>
      <c r="D44" s="4" t="inlineStr">
        <is>
          <t>A set S contains all integers from 1 to 100 that are multiples of either 3 or 4. Find the cardinality of S without listing all elements.</t>
        </is>
      </c>
      <c r="E44" s="4" t="inlineStr">
        <is>
          <t>25</t>
        </is>
      </c>
      <c r="F44" s="4" t="inlineStr">
        <is>
          <t>30</t>
        </is>
      </c>
      <c r="G44" s="4" t="inlineStr">
        <is>
          <t>40</t>
        </is>
      </c>
      <c r="H44" s="4" t="inlineStr">
        <is>
          <t>50</t>
        </is>
      </c>
      <c r="I44" s="5" t="inlineStr">
        <is>
          <t>C</t>
        </is>
      </c>
      <c r="J44" s="6" t="inlineStr">
        <is>
          <t>Use properties of sets and divisibility rules.</t>
        </is>
      </c>
    </row>
    <row r="45" ht="42" customHeight="1">
      <c r="A45" s="2" t="n">
        <v>43</v>
      </c>
      <c r="B45" s="2" t="inlineStr">
        <is>
          <t>Hard</t>
        </is>
      </c>
      <c r="C45" s="4" t="inlineStr">
        <is>
          <t>Word Problems using Sets</t>
        </is>
      </c>
      <c r="D45" s="4" t="inlineStr">
        <is>
          <t>Two sets A and B have a union of 15 elements, with A having 5 more elements than B. If the intersection of A and B has 3 elements, find the number of elements in set B.</t>
        </is>
      </c>
      <c r="E45" s="4" t="inlineStr">
        <is>
          <t>7</t>
        </is>
      </c>
      <c r="F45" s="4" t="inlineStr">
        <is>
          <t>8</t>
        </is>
      </c>
      <c r="G45" s="4" t="inlineStr">
        <is>
          <t>9</t>
        </is>
      </c>
      <c r="H45" s="4" t="inlineStr">
        <is>
          <t>10</t>
        </is>
      </c>
      <c r="I45" s="5" t="inlineStr">
        <is>
          <t>B</t>
        </is>
      </c>
      <c r="J45" s="6" t="inlineStr">
        <is>
          <t>Use Venn diagram to find the number of elements in set B.</t>
        </is>
      </c>
    </row>
    <row r="46" ht="42" customHeight="1">
      <c r="A46" s="2" t="n">
        <v>44</v>
      </c>
      <c r="B46" s="2" t="inlineStr">
        <is>
          <t>Hard</t>
        </is>
      </c>
      <c r="C46" s="4" t="inlineStr">
        <is>
          <t>Word Problems using Sets</t>
        </is>
      </c>
      <c r="D46" s="4" t="inlineStr">
        <is>
          <t>A library has three types of books: fiction, non-fiction, and biographies. The ratio of fiction to non-fiction is 2:3, while the ratio of biographies to the total number of books is 1/4. If there are 240 books in total, how many are biographies?</t>
        </is>
      </c>
      <c r="E46" s="4" t="inlineStr">
        <is>
          <t>60</t>
        </is>
      </c>
      <c r="F46" s="4" t="inlineStr">
        <is>
          <t>80</t>
        </is>
      </c>
      <c r="G46" s="4" t="inlineStr">
        <is>
          <t>100</t>
        </is>
      </c>
      <c r="H46" s="4" t="inlineStr">
        <is>
          <t>120</t>
        </is>
      </c>
      <c r="I46" s="5" t="inlineStr">
        <is>
          <t>D</t>
        </is>
      </c>
      <c r="J46" s="6" t="inlineStr">
        <is>
          <t>Use ratios and proportions to find the number of biographies.</t>
        </is>
      </c>
    </row>
    <row r="47" ht="42" customHeight="1">
      <c r="A47" s="2" t="n">
        <v>45</v>
      </c>
      <c r="B47" s="2" t="inlineStr">
        <is>
          <t>Hard</t>
        </is>
      </c>
      <c r="C47" s="4" t="inlineStr">
        <is>
          <t>Cardinality of Sets</t>
        </is>
      </c>
      <c r="D47" s="4" t="inlineStr">
        <is>
          <t>Let A and B be infinite sets. If</t>
        </is>
      </c>
      <c r="E47" s="4" t="inlineStr">
        <is>
          <t>A ∪ B</t>
        </is>
      </c>
      <c r="F47" s="4" t="inlineStr">
        <is>
          <t>=</t>
        </is>
      </c>
      <c r="G47" s="4" t="inlineStr">
        <is>
          <t>A</t>
        </is>
      </c>
      <c r="H47" s="4" t="inlineStr">
        <is>
          <t>+</t>
        </is>
      </c>
      <c r="I47" s="5" t="inlineStr">
        <is>
          <t>B</t>
        </is>
      </c>
      <c r="J47" s="6" t="inlineStr">
        <is>
          <t>, prove that</t>
        </is>
      </c>
    </row>
    <row r="48" ht="42" customHeight="1">
      <c r="A48" s="2" t="n">
        <v>46</v>
      </c>
      <c r="B48" s="2" t="inlineStr">
        <is>
          <t>Hard</t>
        </is>
      </c>
      <c r="C48" s="4" t="inlineStr">
        <is>
          <t>Cardinality of Sets</t>
        </is>
      </c>
      <c r="D48" s="4" t="inlineStr">
        <is>
          <t>Let A be a set with cardinality</t>
        </is>
      </c>
      <c r="E48" s="4" t="inlineStr">
        <is>
          <t>A</t>
        </is>
      </c>
      <c r="F48" s="4">
        <f> ℵ0. Prove that there exists a set B such that</f>
        <v/>
      </c>
      <c r="G48" s="4" t="inlineStr">
        <is>
          <t>A × B</t>
        </is>
      </c>
      <c r="H48" s="4" t="inlineStr">
        <is>
          <t>=</t>
        </is>
      </c>
      <c r="I48" s="5" t="inlineStr">
        <is>
          <t>A</t>
        </is>
      </c>
      <c r="J48" s="6" t="inlineStr">
        <is>
          <t>×</t>
        </is>
      </c>
    </row>
    <row r="49" ht="42" customHeight="1">
      <c r="A49" s="2" t="n">
        <v>47</v>
      </c>
      <c r="B49" s="2" t="inlineStr">
        <is>
          <t>Hard</t>
        </is>
      </c>
      <c r="C49" s="4" t="inlineStr">
        <is>
          <t>Cardinality of Sets</t>
        </is>
      </c>
      <c r="D49" s="4" t="inlineStr">
        <is>
          <t>Let A and B be sets such that</t>
        </is>
      </c>
      <c r="E49" s="4" t="inlineStr">
        <is>
          <t>A ∩ B</t>
        </is>
      </c>
      <c r="F49" s="4" t="inlineStr">
        <is>
          <t>=</t>
        </is>
      </c>
      <c r="G49" s="4" t="inlineStr">
        <is>
          <t>A</t>
        </is>
      </c>
      <c r="H49" s="4" t="inlineStr">
        <is>
          <t>=</t>
        </is>
      </c>
      <c r="I49" s="5" t="inlineStr">
        <is>
          <t>B</t>
        </is>
      </c>
      <c r="J49" s="6" t="inlineStr">
        <is>
          <t>. Prove that</t>
        </is>
      </c>
    </row>
    <row r="50" ht="42" customHeight="1">
      <c r="A50" s="2" t="n">
        <v>48</v>
      </c>
      <c r="B50" s="2" t="inlineStr">
        <is>
          <t>Hard</t>
        </is>
      </c>
      <c r="C50" s="4" t="inlineStr">
        <is>
          <t>Venn Diagram Problems (2 sets)</t>
        </is>
      </c>
      <c r="D50" s="4" t="inlineStr">
        <is>
          <t>Let A and B be two sets such that</t>
        </is>
      </c>
      <c r="E50" s="4" t="inlineStr">
        <is>
          <t>A</t>
        </is>
      </c>
      <c r="F50" s="4">
        <f>12,</f>
        <v/>
      </c>
      <c r="G50" s="4" t="inlineStr">
        <is>
          <t>B</t>
        </is>
      </c>
      <c r="H50" s="4">
        <f>8, and</f>
        <v/>
      </c>
      <c r="I50" s="5" t="inlineStr">
        <is>
          <t>A</t>
        </is>
      </c>
      <c r="J50" s="6">
        <f>4. Find the number of elements in the set (A ∪ B)' 16</f>
        <v/>
      </c>
    </row>
    <row r="51" ht="42" customHeight="1">
      <c r="A51" s="2" t="n">
        <v>49</v>
      </c>
      <c r="B51" s="2" t="inlineStr">
        <is>
          <t>Hard</t>
        </is>
      </c>
      <c r="C51" s="4" t="inlineStr">
        <is>
          <t>Venn Diagram Problems (3 sets)</t>
        </is>
      </c>
      <c r="D51" s="4" t="inlineStr">
        <is>
          <t>Let U be the universal set, A and B be two non-empty subsets. If</t>
        </is>
      </c>
      <c r="E51" s="4" t="inlineStr">
        <is>
          <t>A ∩ B</t>
        </is>
      </c>
      <c r="F51" s="4">
        <f> 5,</f>
        <v/>
      </c>
      <c r="G51" s="4" t="inlineStr">
        <is>
          <t>A</t>
        </is>
      </c>
      <c r="H51" s="4">
        <f> 10, and</f>
        <v/>
      </c>
      <c r="I51" s="5" t="inlineStr">
        <is>
          <t>B</t>
        </is>
      </c>
      <c r="J51" s="6">
        <f> 8, find</f>
        <v/>
      </c>
    </row>
    <row r="52" ht="42" customHeight="1">
      <c r="A52" s="2" t="n">
        <v>50</v>
      </c>
      <c r="B52" s="2" t="inlineStr">
        <is>
          <t>Hard</t>
        </is>
      </c>
      <c r="C52" s="4" t="inlineStr">
        <is>
          <t>Venn Diagram Problems (3 sets)</t>
        </is>
      </c>
      <c r="D52" s="4" t="inlineStr">
        <is>
          <t>Three sets A, B, and C are represented as Venn diagrams. If</t>
        </is>
      </c>
      <c r="E52" s="4" t="inlineStr">
        <is>
          <t>A ∪ B</t>
        </is>
      </c>
      <c r="F52" s="4">
        <f> 12,</f>
        <v/>
      </c>
      <c r="G52" s="4" t="inlineStr">
        <is>
          <t>A ∩ B</t>
        </is>
      </c>
      <c r="H52" s="4">
        <f> 4,</f>
        <v/>
      </c>
      <c r="I52" s="5" t="inlineStr">
        <is>
          <t>C</t>
        </is>
      </c>
      <c r="J52" s="6">
        <f> 8, and</f>
        <v/>
      </c>
    </row>
    <row r="53" ht="42" customHeight="1">
      <c r="A53" s="2" t="n">
        <v>51</v>
      </c>
      <c r="B53" s="2" t="inlineStr">
        <is>
          <t>Hard</t>
        </is>
      </c>
      <c r="C53" s="4" t="inlineStr">
        <is>
          <t>Venn Diagram Problems (3 sets)</t>
        </is>
      </c>
      <c r="D53" s="4" t="inlineStr">
        <is>
          <t>A set S has three subsets A, B, and C. If</t>
        </is>
      </c>
      <c r="E53" s="4" t="inlineStr">
        <is>
          <t>S</t>
        </is>
      </c>
      <c r="F53" s="4">
        <f> 20,</f>
        <v/>
      </c>
      <c r="G53" s="4" t="inlineStr">
        <is>
          <t>A ∩ B</t>
        </is>
      </c>
      <c r="H53" s="4">
        <f> 6,</f>
        <v/>
      </c>
      <c r="I53" s="5" t="inlineStr">
        <is>
          <t>B</t>
        </is>
      </c>
      <c r="J53" s="6">
        <f> 4, and</f>
        <v/>
      </c>
    </row>
    <row r="54" ht="42" customHeight="1">
      <c r="A54" s="2" t="n">
        <v>52</v>
      </c>
      <c r="B54" s="2" t="inlineStr">
        <is>
          <t>Hard</t>
        </is>
      </c>
      <c r="C54" s="4" t="inlineStr">
        <is>
          <t>De Morgan’s Laws</t>
        </is>
      </c>
      <c r="D54" s="4" t="inlineStr">
        <is>
          <t>Let U be the universal set, A and B be sets such that A ∩ B = {x}, A ∖ B = {y} and B ∖ A = {z}. Which of the following is true?</t>
        </is>
      </c>
      <c r="E54" s="4" t="inlineStr">
        <is>
          <t>U = (A ∪ B) ∖ {x,y,z}</t>
        </is>
      </c>
      <c r="F54" s="4" t="inlineStr">
        <is>
          <t>(A ∪ B) ∖ {x,y,z} ⊆ U</t>
        </is>
      </c>
      <c r="G54" s="4" t="inlineStr">
        <is>
          <t>(A ∩ B) ∪ (A ∖ B) ∪ (B ∖ A) = U</t>
        </is>
      </c>
      <c r="H54" s="4" t="inlineStr">
        <is>
          <t>A ∪ B = U</t>
        </is>
      </c>
      <c r="I54" s="5" t="inlineStr">
        <is>
          <t>D</t>
        </is>
      </c>
      <c r="J54" s="6" t="inlineStr">
        <is>
          <t>(U is the universal set, so it contains all elements)</t>
        </is>
      </c>
    </row>
    <row r="55" ht="42" customHeight="1">
      <c r="A55" s="2" t="n">
        <v>53</v>
      </c>
      <c r="B55" s="2" t="inlineStr">
        <is>
          <t>Hard</t>
        </is>
      </c>
      <c r="C55" s="4" t="inlineStr">
        <is>
          <t>De Morgan’s Laws</t>
        </is>
      </c>
      <c r="D55" s="4" t="inlineStr">
        <is>
          <t>Given sets A and B such that A ∩ B = {x} and A ∖ B = {y,z}. Which of the following statements about (A ∪ B)’ is true?</t>
        </is>
      </c>
      <c r="E55" s="4" t="inlineStr">
        <is>
          <t>{(x),(y,z)}</t>
        </is>
      </c>
      <c r="F55" s="4" t="inlineStr">
        <is>
          <t>(x,y,z)</t>
        </is>
      </c>
      <c r="G55" s="4" t="inlineStr">
        <is>
          <t>{x,y,z}</t>
        </is>
      </c>
      <c r="H55" s="4" t="inlineStr">
        <is>
          <t>{(x),y,z}</t>
        </is>
      </c>
      <c r="I55" s="5" t="inlineStr">
        <is>
          <t>B</t>
        </is>
      </c>
      <c r="J55" s="6" t="inlineStr">
        <is>
          <t>(The complement of a union is the intersection of complements)</t>
        </is>
      </c>
    </row>
    <row r="56" ht="42" customHeight="1">
      <c r="A56" s="2" t="n">
        <v>54</v>
      </c>
      <c r="B56" s="2" t="inlineStr">
        <is>
          <t>Hard</t>
        </is>
      </c>
      <c r="C56" s="4" t="inlineStr">
        <is>
          <t>De Morgan’s Laws</t>
        </is>
      </c>
      <c r="D56" s="4" t="inlineStr">
        <is>
          <t>Let A and B be sets such that A ∩ B = φ, A ∖ B = {a,b} and B ∖ A = {c,d}. Which of the following statements about (A ∪ B)’ is true?</t>
        </is>
      </c>
      <c r="E56" s="4" t="inlineStr">
        <is>
          <t>(a,b,c,d)</t>
        </is>
      </c>
      <c r="F56" s="4" t="inlineStr">
        <is>
          <t>{(a,b),(c,d)}</t>
        </is>
      </c>
      <c r="G56" s="4" t="inlineStr">
        <is>
          <t>{a,b,c,d}</t>
        </is>
      </c>
      <c r="H56" s="4" t="inlineStr">
        <is>
          <t>{(a,b),c,d}</t>
        </is>
      </c>
      <c r="I56" s="5" t="inlineStr">
        <is>
          <t>C</t>
        </is>
      </c>
      <c r="J56" s="6" t="inlineStr">
        <is>
          <t>(The complement of a union is the intersection of complements)</t>
        </is>
      </c>
    </row>
    <row r="57" ht="42" customHeight="1">
      <c r="A57" s="2" t="n">
        <v>55</v>
      </c>
      <c r="B57" s="2" t="inlineStr">
        <is>
          <t>Hard</t>
        </is>
      </c>
      <c r="C57" s="4" t="inlineStr">
        <is>
          <t>De Morgan’s Laws</t>
        </is>
      </c>
      <c r="D57" s="4" t="inlineStr">
        <is>
          <t>Given sets A and B such that A ∩ B = {x,y} and A ∖ B = φ. Which of the following statements about (A ∪ B)’ is true?</t>
        </is>
      </c>
      <c r="E57" s="4" t="inlineStr">
        <is>
          <t>(x,y)</t>
        </is>
      </c>
      <c r="F57" s="4" t="inlineStr">
        <is>
          <t>{(x),(y)}</t>
        </is>
      </c>
      <c r="G57" s="4" t="inlineStr">
        <is>
          <t>{x,y}</t>
        </is>
      </c>
      <c r="H57" s="4" t="inlineStr">
        <is>
          <t>{(x),y}</t>
        </is>
      </c>
      <c r="I57" s="5" t="inlineStr">
        <is>
          <t>D</t>
        </is>
      </c>
      <c r="J57" s="6" t="inlineStr">
        <is>
          <t>(The complement of a union is the intersection of complements)</t>
        </is>
      </c>
    </row>
    <row r="58" ht="42" customHeight="1">
      <c r="A58" s="2" t="n">
        <v>56</v>
      </c>
      <c r="B58" s="2" t="inlineStr">
        <is>
          <t>Hard</t>
        </is>
      </c>
      <c r="C58" s="4" t="inlineStr">
        <is>
          <t>Application-based Set Theory Problems</t>
        </is>
      </c>
      <c r="D58" s="4" t="inlineStr">
        <is>
          <t>Let U be the universal set containing all students in a university. If A is the set of students who have studied mathematics, B is the set of students who have studied physics, and C is the set of students who have studied both mathematics and physics, find</t>
        </is>
      </c>
      <c r="E58" s="4" t="inlineStr">
        <is>
          <t>A ∩ C</t>
        </is>
      </c>
      <c r="F58" s="4" t="inlineStr">
        <is>
          <t>. A) 10 B) 15 C) 20 D) 25</t>
        </is>
      </c>
      <c r="G58" s="4" t="inlineStr">
        <is>
          <t>C</t>
        </is>
      </c>
      <c r="H58" s="4" t="inlineStr">
        <is>
          <t>The given information implies that</t>
        </is>
      </c>
      <c r="I58" s="5" t="inlineStr">
        <is>
          <t>A</t>
        </is>
      </c>
      <c r="J58" s="6" t="inlineStr">
        <is>
          <t>=</t>
        </is>
      </c>
    </row>
    <row r="59" ht="42" customHeight="1">
      <c r="A59" s="2" t="n">
        <v>57</v>
      </c>
      <c r="B59" s="2" t="inlineStr">
        <is>
          <t>Hard</t>
        </is>
      </c>
      <c r="C59" s="4" t="inlineStr">
        <is>
          <t>Set Identities and Properties</t>
        </is>
      </c>
      <c r="D59" s="4" t="inlineStr">
        <is>
          <t>Let U be the universal set, A and B disjoint sets. If</t>
        </is>
      </c>
      <c r="E59" s="4" t="inlineStr">
        <is>
          <t>A ∪ B</t>
        </is>
      </c>
      <c r="F59" s="4">
        <f> 10 and</f>
        <v/>
      </c>
      <c r="G59" s="4" t="inlineStr">
        <is>
          <t>A ∩ B</t>
        </is>
      </c>
      <c r="H59" s="4">
        <f> 2, find</f>
        <v/>
      </c>
      <c r="I59" s="5" t="inlineStr">
        <is>
          <t>A</t>
        </is>
      </c>
      <c r="J59" s="6" t="inlineStr"/>
    </row>
    <row r="60" ht="42" customHeight="1">
      <c r="A60" s="2" t="n">
        <v>58</v>
      </c>
      <c r="B60" s="2" t="inlineStr">
        <is>
          <t>Hard</t>
        </is>
      </c>
      <c r="C60" s="4" t="inlineStr">
        <is>
          <t>Operations on Sets (union, intersection, difference)</t>
        </is>
      </c>
      <c r="D60" s="4" t="inlineStr">
        <is>
          <t>Let U be the universal set containing sets A and B. If</t>
        </is>
      </c>
      <c r="E60" s="4" t="inlineStr">
        <is>
          <t>A ∩ B</t>
        </is>
      </c>
      <c r="F60" s="4">
        <f> 3 and</f>
        <v/>
      </c>
      <c r="G60" s="4" t="inlineStr">
        <is>
          <t>A ∪ B</t>
        </is>
      </c>
      <c r="H60" s="4">
        <f> 10, find</f>
        <v/>
      </c>
      <c r="I60" s="5" t="inlineStr">
        <is>
          <t>A</t>
        </is>
      </c>
      <c r="J60" s="6" t="inlineStr"/>
    </row>
    <row r="61" ht="42" customHeight="1">
      <c r="A61" s="2" t="n">
        <v>59</v>
      </c>
      <c r="B61" s="2" t="inlineStr">
        <is>
          <t>Hard</t>
        </is>
      </c>
      <c r="C61" s="4" t="inlineStr">
        <is>
          <t>Operations on Sets (union, intersection, difference)</t>
        </is>
      </c>
      <c r="D61" s="4" t="inlineStr">
        <is>
          <t>If A and B are sets such that</t>
        </is>
      </c>
      <c r="E61" s="4" t="inlineStr">
        <is>
          <t>A</t>
        </is>
      </c>
      <c r="F61" s="4">
        <f> 12,</f>
        <v/>
      </c>
      <c r="G61" s="4" t="inlineStr">
        <is>
          <t>B</t>
        </is>
      </c>
      <c r="H61" s="4">
        <f> 8, and</f>
        <v/>
      </c>
      <c r="I61" s="5" t="inlineStr">
        <is>
          <t>A</t>
        </is>
      </c>
      <c r="J61" s="6">
        <f> 4, find</f>
        <v/>
      </c>
    </row>
    <row r="62" ht="42" customHeight="1">
      <c r="A62" s="2" t="n">
        <v>60</v>
      </c>
      <c r="B62" s="2" t="inlineStr">
        <is>
          <t>Hard</t>
        </is>
      </c>
      <c r="C62" s="4" t="inlineStr">
        <is>
          <t>Operations on Sets (union, intersection, difference)</t>
        </is>
      </c>
      <c r="D62" s="4" t="inlineStr">
        <is>
          <t>Let A and B be sets such that A ⊆ B. If</t>
        </is>
      </c>
      <c r="E62" s="4" t="inlineStr">
        <is>
          <t>A^c ∩ B^c</t>
        </is>
      </c>
      <c r="F62" s="4">
        <f> 2 and</f>
        <v/>
      </c>
      <c r="G62" s="4" t="inlineStr">
        <is>
          <t>A^c ∪ B^c</t>
        </is>
      </c>
      <c r="H62" s="4">
        <f> 8, find</f>
        <v/>
      </c>
      <c r="I62" s="5" t="inlineStr">
        <is>
          <t>B</t>
        </is>
      </c>
      <c r="J62" s="6" t="inlineStr"/>
    </row>
    <row r="63" ht="42" customHeight="1">
      <c r="A63" s="2" t="n">
        <v>61</v>
      </c>
      <c r="B63" s="2" t="inlineStr">
        <is>
          <t>Hard</t>
        </is>
      </c>
      <c r="C63" s="4" t="inlineStr">
        <is>
          <t>Complement of Sets</t>
        </is>
      </c>
      <c r="D63" s="4" t="inlineStr">
        <is>
          <t>Let U be the universal set, and A and B be two sets such that</t>
        </is>
      </c>
      <c r="E63" s="4" t="inlineStr">
        <is>
          <t>A ∪ B</t>
        </is>
      </c>
      <c r="F63" s="4">
        <f> 10 and</f>
        <v/>
      </c>
      <c r="G63" s="4" t="inlineStr">
        <is>
          <t>A ∩ B</t>
        </is>
      </c>
      <c r="H63" s="4">
        <f> 2. Find</f>
        <v/>
      </c>
      <c r="I63" s="5" t="inlineStr">
        <is>
          <t>A</t>
        </is>
      </c>
      <c r="J63" s="6" t="inlineStr">
        <is>
          <t>. A) 6 B) 8 C) 4 D) 12</t>
        </is>
      </c>
    </row>
    <row r="64" ht="42" customHeight="1">
      <c r="A64" s="2" t="n">
        <v>62</v>
      </c>
      <c r="B64" s="2" t="inlineStr">
        <is>
          <t>Hard</t>
        </is>
      </c>
      <c r="C64" s="4" t="inlineStr">
        <is>
          <t>Complement of Sets</t>
        </is>
      </c>
      <c r="D64" s="4" t="inlineStr">
        <is>
          <t>If A and B are two sets such that</t>
        </is>
      </c>
      <c r="E64" s="4" t="inlineStr">
        <is>
          <t>A^c ∩ B^c</t>
        </is>
      </c>
      <c r="F64" s="4">
        <f> 3, find</f>
        <v/>
      </c>
      <c r="G64" s="4" t="inlineStr">
        <is>
          <t>(A ∪ B)^c</t>
        </is>
      </c>
      <c r="H64" s="4" t="inlineStr">
        <is>
          <t>. A) 6 B) 9 C) 12 D) 15</t>
        </is>
      </c>
      <c r="I64" s="5" t="inlineStr">
        <is>
          <t>B</t>
        </is>
      </c>
      <c r="J64" s="6" t="inlineStr">
        <is>
          <t>The complement of the union is equal to the difference between the universal set size and the sum of the complements.</t>
        </is>
      </c>
    </row>
    <row r="65" ht="42" customHeight="1">
      <c r="A65" s="2" t="n">
        <v>63</v>
      </c>
      <c r="B65" s="2" t="inlineStr">
        <is>
          <t>Hard</t>
        </is>
      </c>
      <c r="C65" s="4" t="inlineStr">
        <is>
          <t>Basic Set Concepts (elements, subsets, types of sets)</t>
        </is>
      </c>
      <c r="D65" s="4" t="inlineStr">
        <is>
          <t>Let U be the universal set containing all integers. Which of the following is a subset of U?</t>
        </is>
      </c>
      <c r="E65" s="4" t="inlineStr">
        <is>
          <t>All prime numbers</t>
        </is>
      </c>
      <c r="F65" s="4" t="inlineStr">
        <is>
          <t>All even numbers</t>
        </is>
      </c>
      <c r="G65" s="4" t="inlineStr">
        <is>
          <t>All odd numbers</t>
        </is>
      </c>
      <c r="H65" s="4" t="inlineStr">
        <is>
          <t>The set of all integers</t>
        </is>
      </c>
      <c r="I65" s="5" t="inlineStr">
        <is>
          <t>D</t>
        </is>
      </c>
      <c r="J65" s="6" t="inlineStr">
        <is>
          <t>A subset of U must contain at least one element from U.</t>
        </is>
      </c>
    </row>
    <row r="66" ht="42" customHeight="1">
      <c r="A66" s="2" t="n">
        <v>64</v>
      </c>
      <c r="B66" s="2" t="inlineStr">
        <is>
          <t>Hard</t>
        </is>
      </c>
      <c r="C66" s="4" t="inlineStr">
        <is>
          <t>Basic Set Concepts (elements, subsets, types of sets)</t>
        </is>
      </c>
      <c r="D66" s="4" t="inlineStr">
        <is>
          <t>If A and B are two disjoint sets, which of the following is true?</t>
        </is>
      </c>
      <c r="E66" s="4" t="inlineStr">
        <is>
          <t>Their union is a proper subset of their intersection</t>
        </is>
      </c>
      <c r="F66" s="4" t="inlineStr">
        <is>
          <t>Their intersection is a proper subset of their union</t>
        </is>
      </c>
      <c r="G66" s="4" t="inlineStr">
        <is>
          <t>The union of A and B is equal to their intersection</t>
        </is>
      </c>
      <c r="H66" s="4" t="inlineStr">
        <is>
          <t>A is a subset of B</t>
        </is>
      </c>
      <c r="I66" s="5" t="inlineStr">
        <is>
          <t>B</t>
        </is>
      </c>
      <c r="J66" s="6" t="inlineStr">
        <is>
          <t>Disjoint sets have no elements in common.</t>
        </is>
      </c>
    </row>
    <row r="67" ht="42" customHeight="1">
      <c r="A67" s="2" t="n">
        <v>65</v>
      </c>
      <c r="B67" s="2" t="inlineStr">
        <is>
          <t>Hard</t>
        </is>
      </c>
      <c r="C67" s="4" t="inlineStr">
        <is>
          <t>Basic Set Concepts (elements, subsets, types of sets)</t>
        </is>
      </c>
      <c r="D67" s="4" t="inlineStr">
        <is>
          <t>Let S be the set of all students in a class. Which of the following statements about the power set P(S) is true?</t>
        </is>
      </c>
      <c r="E67" s="4" t="inlineStr">
        <is>
          <t>P(S) has 2^n elements where n is the number of students</t>
        </is>
      </c>
      <c r="F67" s="4" t="inlineStr">
        <is>
          <t>P(S) contains only finite sets</t>
        </is>
      </c>
      <c r="G67" s="4" t="inlineStr">
        <is>
          <t>The set of all single-element subsets of S is equal to S</t>
        </is>
      </c>
      <c r="H67" s="4" t="inlineStr">
        <is>
          <t>P(S) is countably infinite</t>
        </is>
      </c>
      <c r="I67" s="5" t="inlineStr">
        <is>
          <t>D</t>
        </is>
      </c>
      <c r="J67" s="6" t="inlineStr">
        <is>
          <t>The power set of a set S contains all possible subsets, including the empty set and S itself.</t>
        </is>
      </c>
    </row>
    <row r="68" ht="42" customHeight="1">
      <c r="A68" s="2" t="n">
        <v>66</v>
      </c>
      <c r="B68" s="2" t="inlineStr">
        <is>
          <t>Hard</t>
        </is>
      </c>
      <c r="C68" s="4" t="inlineStr">
        <is>
          <t>Basic Set Concepts (elements, subsets, types of sets)</t>
        </is>
      </c>
      <c r="D68" s="4" t="inlineStr">
        <is>
          <t>If A = {1, 2, 3} and B = {2, 4}, which of the following is true about the relation between A and B?</t>
        </is>
      </c>
      <c r="E68" s="4" t="inlineStr">
        <is>
          <t>A is a proper subset of B</t>
        </is>
      </c>
      <c r="F68" s="4" t="inlineStr">
        <is>
          <t>B is a proper subset of A</t>
        </is>
      </c>
      <c r="G68" s="4" t="inlineStr">
        <is>
          <t>The two sets are equal</t>
        </is>
      </c>
      <c r="H68" s="4" t="inlineStr">
        <is>
          <t>A ∩ B has exactly one element</t>
        </is>
      </c>
      <c r="I68" s="5" t="inlineStr">
        <is>
          <t>C</t>
        </is>
      </c>
      <c r="J68" s="6" t="inlineStr">
        <is>
          <t>A is a proper subset of B because all elements in A are also in B.</t>
        </is>
      </c>
    </row>
    <row r="69" ht="42" customHeight="1">
      <c r="A69" s="2" t="n">
        <v>67</v>
      </c>
      <c r="B69" s="2" t="inlineStr">
        <is>
          <t>Hard</t>
        </is>
      </c>
      <c r="C69" s="4" t="inlineStr">
        <is>
          <t>Word Problems using Sets</t>
        </is>
      </c>
      <c r="D69" s="4" t="inlineStr">
        <is>
          <t>A bakery offers a discount on bulk orders. If buying 3 sets of cookies (each containing 5, 7, and 9 cookies) costs $120, how much would it cost to buy 2 sets?</t>
        </is>
      </c>
      <c r="E69" s="4" t="inlineStr">
        <is>
          <t>$80</t>
        </is>
      </c>
      <c r="F69" s="4" t="inlineStr">
        <is>
          <t>$90</t>
        </is>
      </c>
      <c r="G69" s="4" t="inlineStr">
        <is>
          <t>$100</t>
        </is>
      </c>
      <c r="H69" s="4" t="inlineStr">
        <is>
          <t>$110</t>
        </is>
      </c>
      <c r="I69" s="5" t="inlineStr">
        <is>
          <t>D</t>
        </is>
      </c>
      <c r="J69" s="6" t="inlineStr">
        <is>
          <t>Use the ratio of total cookies in one set to find the price of two sets.</t>
        </is>
      </c>
    </row>
    <row r="70" ht="42" customHeight="1">
      <c r="A70" s="2" t="n">
        <v>68</v>
      </c>
      <c r="B70" s="2" t="inlineStr">
        <is>
          <t>Hard</t>
        </is>
      </c>
      <c r="C70" s="4" t="inlineStr">
        <is>
          <t>Word Problems using Sets</t>
        </is>
      </c>
      <c r="D70" s="4" t="inlineStr">
        <is>
          <t>A company has three departments: A, B, and C. The number of employees in each department is proportional to the area they occupy. If department A occupies 1/4 of the total area and has 15 employees, how many employees are there in total?</t>
        </is>
      </c>
      <c r="E70" s="4" t="inlineStr">
        <is>
          <t>60</t>
        </is>
      </c>
      <c r="F70" s="4" t="inlineStr">
        <is>
          <t>$80</t>
        </is>
      </c>
      <c r="G70" s="4" t="inlineStr">
        <is>
          <t>$100</t>
        </is>
      </c>
      <c r="H70" s="4" t="inlineStr">
        <is>
          <t>$120</t>
        </is>
      </c>
      <c r="I70" s="5" t="inlineStr">
        <is>
          <t>C</t>
        </is>
      </c>
      <c r="J70" s="6" t="inlineStr">
        <is>
          <t>Use the ratio of areas to find the total number of employees.</t>
        </is>
      </c>
    </row>
    <row r="71" ht="42" customHeight="1">
      <c r="A71" s="2" t="n">
        <v>69</v>
      </c>
      <c r="B71" s="2" t="inlineStr">
        <is>
          <t>Hard</t>
        </is>
      </c>
      <c r="C71" s="4" t="inlineStr">
        <is>
          <t>Word Problems using Sets</t>
        </is>
      </c>
      <c r="D71" s="4" t="inlineStr">
        <is>
          <t>A library has three sections: fiction, non-fiction, and biographies. The number of books in each section is proportional to the time spent reading them. If 3 hours are spent on fiction books and there are 2/5 as many non-fiction books, how many hours are spent on biographies?</t>
        </is>
      </c>
      <c r="E71" s="4" t="inlineStr">
        <is>
          <t>4</t>
        </is>
      </c>
      <c r="F71" s="4" t="inlineStr">
        <is>
          <t>$6</t>
        </is>
      </c>
      <c r="G71" s="4" t="inlineStr">
        <is>
          <t>$8</t>
        </is>
      </c>
      <c r="H71" s="4" t="inlineStr">
        <is>
          <t>$10</t>
        </is>
      </c>
      <c r="I71" s="5" t="inlineStr">
        <is>
          <t>B</t>
        </is>
      </c>
      <c r="J71" s="6" t="inlineStr">
        <is>
          <t>Use the ratio of book numbers to find the time spent on biographies.</t>
        </is>
      </c>
    </row>
    <row r="72" ht="42" customHeight="1">
      <c r="A72" s="2" t="n">
        <v>70</v>
      </c>
      <c r="B72" s="2" t="inlineStr">
        <is>
          <t>Hard</t>
        </is>
      </c>
      <c r="C72" s="4" t="inlineStr">
        <is>
          <t>Word Problems using Sets</t>
        </is>
      </c>
      <c r="D72" s="4" t="inlineStr">
        <is>
          <t>A school has three clubs: music, drama, and debate. The number of students in each club is proportional to the points earned by the club. If the music club earns 120 points and there are 3/5 as many students in the drama club, how many points does the debate club earn?</t>
        </is>
      </c>
      <c r="E72" s="4" t="inlineStr">
        <is>
          <t>60</t>
        </is>
      </c>
      <c r="F72" s="4" t="inlineStr">
        <is>
          <t>$80</t>
        </is>
      </c>
      <c r="G72" s="4" t="inlineStr">
        <is>
          <t>$100</t>
        </is>
      </c>
      <c r="H72" s="4" t="inlineStr">
        <is>
          <t>$120</t>
        </is>
      </c>
      <c r="I72" s="5" t="inlineStr">
        <is>
          <t>D</t>
        </is>
      </c>
      <c r="J72" s="6" t="inlineStr">
        <is>
          <t>Use the ratio of student numbers to find the points earned by the debate club.</t>
        </is>
      </c>
    </row>
    <row r="73" ht="42" customHeight="1">
      <c r="A73" s="2" t="n">
        <v>71</v>
      </c>
      <c r="B73" s="2" t="inlineStr">
        <is>
          <t>Hard</t>
        </is>
      </c>
      <c r="C73" s="4" t="inlineStr">
        <is>
          <t>Cardinality of Sets</t>
        </is>
      </c>
      <c r="D73" s="4" t="inlineStr">
        <is>
          <t>Let A and B be infinite sets. If</t>
        </is>
      </c>
      <c r="E73" s="4" t="inlineStr">
        <is>
          <t>A ∪ B</t>
        </is>
      </c>
      <c r="F73" s="4" t="inlineStr">
        <is>
          <t>=</t>
        </is>
      </c>
      <c r="G73" s="4" t="inlineStr">
        <is>
          <t>A</t>
        </is>
      </c>
      <c r="H73" s="4" t="inlineStr">
        <is>
          <t>+</t>
        </is>
      </c>
      <c r="I73" s="5" t="inlineStr">
        <is>
          <t>B</t>
        </is>
      </c>
      <c r="J73" s="6" t="inlineStr">
        <is>
          <t>-</t>
        </is>
      </c>
    </row>
    <row r="74" ht="42" customHeight="1">
      <c r="A74" s="2" t="n">
        <v>72</v>
      </c>
      <c r="B74" s="2" t="inlineStr">
        <is>
          <t>Hard</t>
        </is>
      </c>
      <c r="C74" s="4" t="inlineStr">
        <is>
          <t>Cardinality of Sets</t>
        </is>
      </c>
      <c r="D74" s="4" t="inlineStr">
        <is>
          <t>Let A and B be sets such that</t>
        </is>
      </c>
      <c r="E74" s="4" t="inlineStr">
        <is>
          <t>A</t>
        </is>
      </c>
      <c r="F74" s="4" t="inlineStr">
        <is>
          <t>=</t>
        </is>
      </c>
      <c r="G74" s="4" t="inlineStr">
        <is>
          <t>B</t>
        </is>
      </c>
      <c r="H74" s="4">
        <f> ℵ0. What is the cardinality of the set of all bijections from A to B?</f>
        <v/>
      </c>
      <c r="I74" s="5" t="inlineStr">
        <is>
          <t>A</t>
        </is>
      </c>
      <c r="J74" s="6" t="inlineStr">
        <is>
          <t>B) 2ℵ0</t>
        </is>
      </c>
    </row>
    <row r="75" ht="42" customHeight="1">
      <c r="A75" s="2" t="n">
        <v>73</v>
      </c>
      <c r="B75" s="2" t="inlineStr">
        <is>
          <t>Hard</t>
        </is>
      </c>
      <c r="C75" s="4" t="inlineStr">
        <is>
          <t>Venn Diagram Problems (2 sets)</t>
        </is>
      </c>
      <c r="D75" s="4" t="inlineStr">
        <is>
          <t>Let U be the universal set, A and B be two sets such that</t>
        </is>
      </c>
      <c r="E75" s="4" t="inlineStr">
        <is>
          <t>A ∩ B</t>
        </is>
      </c>
      <c r="F75" s="4">
        <f> 5,</f>
        <v/>
      </c>
      <c r="G75" s="4" t="inlineStr">
        <is>
          <t>A c</t>
        </is>
      </c>
      <c r="H75" s="4">
        <f> 10, and</f>
        <v/>
      </c>
      <c r="I75" s="5" t="inlineStr">
        <is>
          <t>B</t>
        </is>
      </c>
      <c r="J75" s="6">
        <f> 7. Find</f>
        <v/>
      </c>
    </row>
    <row r="76" ht="42" customHeight="1">
      <c r="A76" s="2" t="n">
        <v>74</v>
      </c>
      <c r="B76" s="2" t="inlineStr">
        <is>
          <t>Hard</t>
        </is>
      </c>
      <c r="C76" s="4" t="inlineStr">
        <is>
          <t>Venn Diagram Problems (2 sets)</t>
        </is>
      </c>
      <c r="D76" s="4" t="inlineStr">
        <is>
          <t>In a Venn diagram, let A and B be two non-empty sets such that</t>
        </is>
      </c>
      <c r="E76" s="4" t="inlineStr">
        <is>
          <t>A ∪ B</t>
        </is>
      </c>
      <c r="F76" s="4">
        <f> 12,</f>
        <v/>
      </c>
      <c r="G76" s="4" t="inlineStr">
        <is>
          <t>A c</t>
        </is>
      </c>
      <c r="H76" s="4">
        <f> 4, and</f>
        <v/>
      </c>
      <c r="I76" s="5" t="inlineStr">
        <is>
          <t>B</t>
        </is>
      </c>
      <c r="J76" s="6">
        <f> 5. Find</f>
        <v/>
      </c>
    </row>
    <row r="77" ht="42" customHeight="1">
      <c r="A77" s="2" t="n">
        <v>75</v>
      </c>
      <c r="B77" s="2" t="inlineStr">
        <is>
          <t>Hard</t>
        </is>
      </c>
      <c r="C77" s="4" t="inlineStr">
        <is>
          <t>Venn Diagram Problems (3 sets)</t>
        </is>
      </c>
      <c r="D77" s="4" t="inlineStr">
        <is>
          <t>Three sets U, A, and B satisfy UAUB. If</t>
        </is>
      </c>
      <c r="E77" s="4" t="inlineStr">
        <is>
          <t>U</t>
        </is>
      </c>
      <c r="F77" s="4">
        <f>24,</f>
        <v/>
      </c>
      <c r="G77" s="4" t="inlineStr">
        <is>
          <t>A</t>
        </is>
      </c>
      <c r="H77" s="4">
        <f>16, and</f>
        <v/>
      </c>
      <c r="I77" s="5" t="inlineStr">
        <is>
          <t>B</t>
        </is>
      </c>
      <c r="J77" s="6">
        <f>12, find</f>
        <v/>
      </c>
    </row>
    <row r="78" ht="42" customHeight="1">
      <c r="A78" s="2" t="n">
        <v>76</v>
      </c>
      <c r="B78" s="2" t="inlineStr">
        <is>
          <t>Hard</t>
        </is>
      </c>
      <c r="C78" s="4" t="inlineStr">
        <is>
          <t>De Morgan’s Laws</t>
        </is>
      </c>
      <c r="D78" s="4" t="inlineStr">
        <is>
          <t>Let U be the universal set and A, B be subsets. If A ∩ B' = φ and A' ∩ B = φ, then which of the following is true?</t>
        </is>
      </c>
      <c r="E78" s="4" t="inlineStr">
        <is>
          <t>A' ∪ B'</t>
        </is>
      </c>
      <c r="F78" s="4" t="inlineStr">
        <is>
          <t>B' ∪ (A ∪ B)</t>
        </is>
      </c>
      <c r="G78" s="4" t="inlineStr">
        <is>
          <t>A ∪ B'</t>
        </is>
      </c>
      <c r="H78" s="4" t="inlineStr">
        <is>
          <t>U</t>
        </is>
      </c>
      <c r="I78" s="5" t="inlineStr">
        <is>
          <t>A</t>
        </is>
      </c>
      <c r="J78" s="6" t="inlineStr">
        <is>
          <t>The given conditions imply that A ⊆ B' and B ⊆ A', so A ∪ B' = U.</t>
        </is>
      </c>
    </row>
    <row r="79" ht="42" customHeight="1">
      <c r="A79" s="2" t="n">
        <v>77</v>
      </c>
      <c r="B79" s="2" t="inlineStr">
        <is>
          <t>Hard</t>
        </is>
      </c>
      <c r="C79" s="4" t="inlineStr">
        <is>
          <t>De Morgan’s Laws</t>
        </is>
      </c>
      <c r="D79" s="4" t="inlineStr">
        <is>
          <t>(P ∧ Q)' + P' ∨ Q'</t>
        </is>
      </c>
      <c r="E79" s="4" t="inlineStr">
        <is>
          <t>P'</t>
        </is>
      </c>
      <c r="F79" s="4" t="inlineStr">
        <is>
          <t>Q'</t>
        </is>
      </c>
      <c r="G79" s="4" t="inlineStr">
        <is>
          <t>P ∧ Q'</t>
        </is>
      </c>
      <c r="H79" s="4" t="inlineStr">
        <is>
          <t>P ∨ Q</t>
        </is>
      </c>
      <c r="I79" s="5" t="inlineStr">
        <is>
          <t>B</t>
        </is>
      </c>
      <c r="J79" s="6" t="inlineStr">
        <is>
          <t>By De Morgan's Law, (P ∧ Q)' is equivalent to P' ∨ Q', which simplifies the given expression.</t>
        </is>
      </c>
    </row>
    <row r="80" ht="42" customHeight="1">
      <c r="A80" s="2" t="n">
        <v>78</v>
      </c>
      <c r="B80" s="2" t="inlineStr">
        <is>
          <t>Hard</t>
        </is>
      </c>
      <c r="C80" s="4" t="inlineStr">
        <is>
          <t>De Morgan’s Laws</t>
        </is>
      </c>
      <c r="D80" s="4" t="inlineStr">
        <is>
          <t>Let A and B be sets. If A ∩ B = φ and A ∪ B = U, then which of the following is true?</t>
        </is>
      </c>
      <c r="E80" s="4" t="inlineStr">
        <is>
          <t>(A ∪ B)'</t>
        </is>
      </c>
      <c r="F80" s="4" t="inlineStr">
        <is>
          <t>(A ∩ B)'</t>
        </is>
      </c>
      <c r="G80" s="4" t="inlineStr">
        <is>
          <t>(A' ∪ B')</t>
        </is>
      </c>
      <c r="H80" s="4" t="inlineStr">
        <is>
          <t>(A ∪ B)'</t>
        </is>
      </c>
      <c r="I80" s="5" t="inlineStr">
        <is>
          <t>A</t>
        </is>
      </c>
      <c r="J80" s="6" t="inlineStr">
        <is>
          <t>The given conditions imply that A ∩ B = φ and A ∪ B = U, so (A ∪ B)' = φ, which simplifies the expression.</t>
        </is>
      </c>
    </row>
    <row r="81" ht="42" customHeight="1">
      <c r="A81" s="2" t="n">
        <v>79</v>
      </c>
      <c r="B81" s="2" t="inlineStr">
        <is>
          <t>Hard</t>
        </is>
      </c>
      <c r="C81" s="4" t="inlineStr">
        <is>
          <t>De Morgan’s Laws</t>
        </is>
      </c>
      <c r="D81" s="4" t="inlineStr">
        <is>
          <t>Let P be a statement. If ¬(P ∨ Q) is true, then which of the following is true?</t>
        </is>
      </c>
      <c r="E81" s="4" t="inlineStr">
        <is>
          <t>¬P ∧ ¬Q</t>
        </is>
      </c>
      <c r="F81" s="4" t="inlineStr">
        <is>
          <t>P ∧ Q</t>
        </is>
      </c>
      <c r="G81" s="4" t="inlineStr">
        <is>
          <t>¬P ∨ Q</t>
        </is>
      </c>
      <c r="H81" s="4" t="inlineStr">
        <is>
          <t>P'</t>
        </is>
      </c>
      <c r="I81" s="5" t="inlineStr">
        <is>
          <t>B</t>
        </is>
      </c>
      <c r="J81" s="6" t="inlineStr">
        <is>
          <t>By De Morgan's Law, ¬(P ∨ Q) is equivalent to ¬P ∧ ¬Q.</t>
        </is>
      </c>
    </row>
    <row r="82" ht="42" customHeight="1">
      <c r="A82" s="2" t="n">
        <v>80</v>
      </c>
      <c r="B82" s="2" t="inlineStr">
        <is>
          <t>Hard</t>
        </is>
      </c>
      <c r="C82" s="4" t="inlineStr">
        <is>
          <t>Application-based Set Theory Problems</t>
        </is>
      </c>
      <c r="D82" s="4" t="inlineStr">
        <is>
          <t>In a certain city, 30% of the population has watched movie X, 40% have watched movie Y, and 10% have watched both. If the total population is 1000, how many people have watched at least one of the movies?</t>
        </is>
      </c>
      <c r="E82" s="4" t="inlineStr">
        <is>
          <t>300</t>
        </is>
      </c>
      <c r="F82" s="4" t="inlineStr">
        <is>
          <t>400</t>
        </is>
      </c>
      <c r="G82" s="4" t="inlineStr">
        <is>
          <t>500</t>
        </is>
      </c>
      <c r="H82" s="4" t="inlineStr">
        <is>
          <t>700</t>
        </is>
      </c>
      <c r="I82" s="5" t="inlineStr">
        <is>
          <t>A</t>
        </is>
      </c>
      <c r="J82" s="6" t="inlineStr">
        <is>
          <t>Use Venn diagram to find the union of A and B.</t>
        </is>
      </c>
    </row>
    <row r="83" ht="42" customHeight="1">
      <c r="A83" s="2" t="n">
        <v>81</v>
      </c>
      <c r="B83" s="2" t="inlineStr">
        <is>
          <t>Hard</t>
        </is>
      </c>
      <c r="C83" s="4" t="inlineStr">
        <is>
          <t>Application-based Set Theory Problems</t>
        </is>
      </c>
      <c r="D83" s="4" t="inlineStr">
        <is>
          <t>In a certain company, 20% of employees are engineers, 30% are managers, and 10% are both. If there are 500 employees in total, how many employees are not engineers or managers?</t>
        </is>
      </c>
      <c r="E83" s="4" t="inlineStr">
        <is>
          <t>100</t>
        </is>
      </c>
      <c r="F83" s="4" t="inlineStr">
        <is>
          <t>150</t>
        </is>
      </c>
      <c r="G83" s="4" t="inlineStr">
        <is>
          <t>200</t>
        </is>
      </c>
      <c r="H83" s="4" t="inlineStr">
        <is>
          <t>250</t>
        </is>
      </c>
      <c r="I83" s="5" t="inlineStr">
        <is>
          <t>C</t>
        </is>
      </c>
      <c r="J83" s="6" t="inlineStr">
        <is>
          <t>Use set operations to find the complement of A∪B.</t>
        </is>
      </c>
    </row>
    <row r="84" ht="42" customHeight="1">
      <c r="A84" s="2" t="n">
        <v>82</v>
      </c>
      <c r="B84" s="2" t="inlineStr">
        <is>
          <t>Hard</t>
        </is>
      </c>
      <c r="C84" s="4" t="inlineStr">
        <is>
          <t>Set Identities and Properties</t>
        </is>
      </c>
      <c r="D84" s="4" t="inlineStr">
        <is>
          <t>Let A, B, C be sets. If A ∩ (B ∪ C) = ∅ and A ⊆ B, then what is the relationship between A and C?</t>
        </is>
      </c>
      <c r="E84" s="4" t="inlineStr">
        <is>
          <t>A ⊆ C</t>
        </is>
      </c>
      <c r="F84" s="4" t="inlineStr">
        <is>
          <t>A ⊇ C</t>
        </is>
      </c>
      <c r="G84" s="4" t="inlineStr">
        <is>
          <t>A = C</t>
        </is>
      </c>
      <c r="H84" s="4" t="inlineStr">
        <is>
          <t>A ∩ C = ∅</t>
        </is>
      </c>
      <c r="I84" s="5" t="inlineStr">
        <is>
          <t>C</t>
        </is>
      </c>
      <c r="J84" s="6" t="inlineStr">
        <is>
          <t>A ⊆ C because A ⊆ B and B ∪ C has no intersection with A.</t>
        </is>
      </c>
    </row>
    <row r="85" ht="42" customHeight="1">
      <c r="A85" s="2" t="n">
        <v>83</v>
      </c>
      <c r="B85" s="2" t="inlineStr">
        <is>
          <t>Hard</t>
        </is>
      </c>
      <c r="C85" s="4" t="inlineStr">
        <is>
          <t>Set Identities and Properties</t>
        </is>
      </c>
      <c r="D85" s="4" t="inlineStr">
        <is>
          <t>If A, B are sets such that</t>
        </is>
      </c>
      <c r="E85" s="4" t="inlineStr">
        <is>
          <t>A</t>
        </is>
      </c>
      <c r="F85" s="4">
        <f> 7,</f>
        <v/>
      </c>
      <c r="G85" s="4" t="inlineStr">
        <is>
          <t>B</t>
        </is>
      </c>
      <c r="H85" s="4">
        <f> 9, and</f>
        <v/>
      </c>
      <c r="I85" s="5" t="inlineStr">
        <is>
          <t>A</t>
        </is>
      </c>
      <c r="J85" s="6">
        <f> 3, then what is the value of</f>
        <v/>
      </c>
    </row>
    <row r="86" ht="42" customHeight="1">
      <c r="A86" s="2" t="n">
        <v>84</v>
      </c>
      <c r="B86" s="2" t="inlineStr">
        <is>
          <t>Hard</t>
        </is>
      </c>
      <c r="C86" s="4" t="inlineStr">
        <is>
          <t>Complement of Sets</t>
        </is>
      </c>
      <c r="D86" s="4" t="inlineStr">
        <is>
          <t>Let U be the universal set, and A and B be two sets such that</t>
        </is>
      </c>
      <c r="E86" s="4" t="inlineStr">
        <is>
          <t>A ∩ B</t>
        </is>
      </c>
      <c r="F86" s="4">
        <f> 5. If</f>
        <v/>
      </c>
      <c r="G86" s="4" t="inlineStr">
        <is>
          <t>A</t>
        </is>
      </c>
      <c r="H86" s="4">
        <f> 10 and</f>
        <v/>
      </c>
      <c r="I86" s="5" t="inlineStr">
        <is>
          <t>B</t>
        </is>
      </c>
      <c r="J86" s="6">
        <f> 8, find</f>
        <v/>
      </c>
    </row>
    <row r="87" ht="42" customHeight="1">
      <c r="A87" s="2" t="n">
        <v>85</v>
      </c>
      <c r="B87" s="2" t="inlineStr">
        <is>
          <t>Hard</t>
        </is>
      </c>
      <c r="C87" s="4" t="inlineStr">
        <is>
          <t>Complement of Sets</t>
        </is>
      </c>
      <c r="D87" s="4" t="inlineStr">
        <is>
          <t>If A and B are two sets such that</t>
        </is>
      </c>
      <c r="E87" s="4" t="inlineStr">
        <is>
          <t>A ∪ B</t>
        </is>
      </c>
      <c r="F87" s="4">
        <f> 15,</f>
        <v/>
      </c>
      <c r="G87" s="4" t="inlineStr">
        <is>
          <t>A ∩ B</t>
        </is>
      </c>
      <c r="H87" s="4">
        <f> 3, and</f>
        <v/>
      </c>
      <c r="I87" s="5" t="inlineStr">
        <is>
          <t>A</t>
        </is>
      </c>
      <c r="J87" s="6">
        <f> 8, find</f>
        <v/>
      </c>
    </row>
    <row r="88" ht="42" customHeight="1">
      <c r="A88" s="2" t="n">
        <v>86</v>
      </c>
      <c r="B88" s="2" t="inlineStr">
        <is>
          <t>Hard</t>
        </is>
      </c>
      <c r="C88" s="4" t="inlineStr">
        <is>
          <t>Complement of Sets</t>
        </is>
      </c>
      <c r="D88" s="4" t="inlineStr">
        <is>
          <t>Let A and B be two sets such that</t>
        </is>
      </c>
      <c r="E88" s="4" t="inlineStr">
        <is>
          <t>A ∪ B</t>
        </is>
      </c>
      <c r="F88" s="4">
        <f> 12,</f>
        <v/>
      </c>
      <c r="G88" s="4" t="inlineStr">
        <is>
          <t>A ∩ B</t>
        </is>
      </c>
      <c r="H88" s="4">
        <f> 2, and</f>
        <v/>
      </c>
      <c r="I88" s="5" t="inlineStr">
        <is>
          <t>B</t>
        </is>
      </c>
      <c r="J88" s="6">
        <f> x. If</f>
        <v/>
      </c>
    </row>
    <row r="89" ht="42" customHeight="1">
      <c r="A89" s="2" t="n">
        <v>87</v>
      </c>
      <c r="B89" s="2" t="inlineStr">
        <is>
          <t>Hard</t>
        </is>
      </c>
      <c r="C89" s="4" t="inlineStr">
        <is>
          <t>Basic Set Concepts (elements, subsets, types of sets)</t>
        </is>
      </c>
      <c r="D89" s="4" t="inlineStr">
        <is>
          <t>Let U be the universal set containing all integers. Which of the following sets is NOT a subset of U?</t>
        </is>
      </c>
      <c r="E89" s="4" t="inlineStr">
        <is>
          <t>All real numbers</t>
        </is>
      </c>
      <c r="F89" s="4" t="inlineStr">
        <is>
          <t>All rational numbers</t>
        </is>
      </c>
      <c r="G89" s="4" t="inlineStr">
        <is>
          <t>All natural numbers</t>
        </is>
      </c>
      <c r="H89" s="4" t="inlineStr">
        <is>
          <t>The set of all imaginary numbers</t>
        </is>
      </c>
      <c r="I89" s="5" t="inlineStr">
        <is>
          <t>D</t>
        </is>
      </c>
      <c r="J89" s="6" t="inlineStr">
        <is>
          <t>The set of all imaginary numbers is not an integer.</t>
        </is>
      </c>
    </row>
    <row r="90" ht="42" customHeight="1">
      <c r="A90" s="2" t="n">
        <v>88</v>
      </c>
      <c r="B90" s="2" t="inlineStr">
        <is>
          <t>Hard</t>
        </is>
      </c>
      <c r="C90" s="4" t="inlineStr">
        <is>
          <t>Basic Set Concepts (elements, subsets, types of sets)</t>
        </is>
      </c>
      <c r="D90" s="4" t="inlineStr">
        <is>
          <t>If A and B are two finite sets such that</t>
        </is>
      </c>
      <c r="E90" s="4" t="inlineStr">
        <is>
          <t>A</t>
        </is>
      </c>
      <c r="F90" s="4">
        <f> 5 and</f>
        <v/>
      </c>
      <c r="G90" s="4" t="inlineStr">
        <is>
          <t>B</t>
        </is>
      </c>
      <c r="H90" s="4">
        <f> 3, which of the following statements is TRUE?</f>
        <v/>
      </c>
      <c r="I90" s="5" t="inlineStr">
        <is>
          <t>A</t>
        </is>
      </c>
      <c r="J90" s="6" t="inlineStr">
        <is>
          <t>A ∪ B has at least 6 elements</t>
        </is>
      </c>
    </row>
    <row r="91" ht="42" customHeight="1">
      <c r="A91" s="2" t="n">
        <v>89</v>
      </c>
      <c r="B91" s="2" t="inlineStr">
        <is>
          <t>Hard</t>
        </is>
      </c>
      <c r="C91" s="4" t="inlineStr">
        <is>
          <t>Basic Set Concepts (elements, subsets, types of sets)</t>
        </is>
      </c>
      <c r="D91" s="4" t="inlineStr">
        <is>
          <t>Let S be a set containing all prime numbers. Which of the following statements about S is TRUE?</t>
        </is>
      </c>
      <c r="E91" s="4" t="inlineStr">
        <is>
          <t>S is countably infinite</t>
        </is>
      </c>
      <c r="F91" s="4" t="inlineStr">
        <is>
          <t>S is uncountably infinite</t>
        </is>
      </c>
      <c r="G91" s="4" t="inlineStr">
        <is>
          <t>S has exactly 5 elements</t>
        </is>
      </c>
      <c r="H91" s="4" t="inlineStr">
        <is>
          <t>S contains only even numbers</t>
        </is>
      </c>
      <c r="I91" s="5" t="inlineStr">
        <is>
          <t>A</t>
        </is>
      </c>
      <c r="J91" s="6" t="inlineStr">
        <is>
          <t>Since prime numbers are infinite and not ordered, they form an uncountable set.</t>
        </is>
      </c>
    </row>
    <row r="92" ht="42" customHeight="1">
      <c r="A92" s="2" t="n">
        <v>90</v>
      </c>
      <c r="B92" s="2" t="inlineStr">
        <is>
          <t>Hard</t>
        </is>
      </c>
      <c r="C92" s="4" t="inlineStr">
        <is>
          <t>Basic Set Concepts (elements, subsets, types of sets)</t>
        </is>
      </c>
      <c r="D92" s="4" t="inlineStr">
        <is>
          <t>If A = {1, 2, 3} and B = {2, 4}, which of the following statements about A ∩ B is TRUE?</t>
        </is>
      </c>
      <c r="E92" s="4" t="inlineStr">
        <is>
          <t>A ∩ B has exactly one element</t>
        </is>
      </c>
      <c r="F92" s="4" t="inlineStr">
        <is>
          <t>A ∩ B has at most 2 elements</t>
        </is>
      </c>
      <c r="G92" s="4" t="inlineStr">
        <is>
          <t>A ∩ B has at least 2 elements</t>
        </is>
      </c>
      <c r="H92" s="4" t="inlineStr">
        <is>
          <t>A ∩ B is empty</t>
        </is>
      </c>
      <c r="I92" s="5" t="inlineStr">
        <is>
          <t>B</t>
        </is>
      </c>
      <c r="J92" s="6" t="inlineStr">
        <is>
          <t>Since A and B have common elements, their intersection has at least one element.</t>
        </is>
      </c>
    </row>
    <row r="93" ht="42" customHeight="1">
      <c r="A93" s="2" t="n">
        <v>91</v>
      </c>
      <c r="B93" s="2" t="inlineStr">
        <is>
          <t>Hard</t>
        </is>
      </c>
      <c r="C93" s="4" t="inlineStr">
        <is>
          <t>Word Problems using Sets</t>
        </is>
      </c>
      <c r="D93" s="4" t="inlineStr">
        <is>
          <t>A bakery sells 250 loaves of bread on Monday and 300 loaves on Tuesday. If the total number of loaves sold is 20% more than the number of students in a school, find the number of students in the school.</t>
        </is>
      </c>
      <c r="E93" s="4" t="inlineStr">
        <is>
          <t>225</t>
        </is>
      </c>
      <c r="F93" s="4" t="inlineStr">
        <is>
          <t>275</t>
        </is>
      </c>
      <c r="G93" s="4" t="inlineStr">
        <is>
          <t>315</t>
        </is>
      </c>
      <c r="H93" s="4" t="inlineStr">
        <is>
          <t>325</t>
        </is>
      </c>
      <c r="I93" s="5" t="inlineStr">
        <is>
          <t>D</t>
        </is>
      </c>
      <c r="J93" s="6" t="inlineStr">
        <is>
          <t>The difference between the number of loaves sold on Monday and Tuesday gives the increase in sales, which is 50. This represents 20% of the total number of students.</t>
        </is>
      </c>
    </row>
    <row r="94" ht="42" customHeight="1">
      <c r="A94" s="2" t="n">
        <v>92</v>
      </c>
      <c r="B94" s="2" t="inlineStr">
        <is>
          <t>Hard</t>
        </is>
      </c>
      <c r="C94" s="4" t="inlineStr">
        <is>
          <t>Word Problems using Sets</t>
        </is>
      </c>
      <c r="D94" s="4" t="inlineStr">
        <is>
          <t>A company has two types of employees: full-time (FT) and part-time (PT). If there are 120 FT employees and 80 PT employees, and the ratio of FT to PT employees is 3:2, find the total number of employees.</t>
        </is>
      </c>
      <c r="E94" s="4" t="inlineStr">
        <is>
          <t>200</t>
        </is>
      </c>
      <c r="F94" s="4" t="inlineStr">
        <is>
          <t>220</t>
        </is>
      </c>
      <c r="G94" s="4" t="inlineStr">
        <is>
          <t>240</t>
        </is>
      </c>
      <c r="H94" s="4" t="inlineStr">
        <is>
          <t>260</t>
        </is>
      </c>
      <c r="I94" s="5" t="inlineStr">
        <is>
          <t>C</t>
        </is>
      </c>
      <c r="J94" s="6" t="inlineStr">
        <is>
          <t>Let x be the number of PT employees. Then, 3x/2 = 120/x → 6x^2 = 72000 → x = 60.</t>
        </is>
      </c>
    </row>
    <row r="95" ht="42" customHeight="1">
      <c r="A95" s="2" t="n">
        <v>93</v>
      </c>
      <c r="B95" s="2" t="inlineStr">
        <is>
          <t>Hard</t>
        </is>
      </c>
      <c r="C95" s="4" t="inlineStr">
        <is>
          <t>Word Problems using Sets</t>
        </is>
      </c>
      <c r="D95" s="4" t="inlineStr">
        <is>
          <t>A library has three types of books: fiction (F), non-fiction (NF), and reference (R). If there are 150 F books, 200 NF books, and 50 R books, and the ratio of F to NF to R books is 2:3:1, find the total number of books.</t>
        </is>
      </c>
      <c r="E95" s="4" t="inlineStr">
        <is>
          <t>400</t>
        </is>
      </c>
      <c r="F95" s="4" t="inlineStr">
        <is>
          <t>450</t>
        </is>
      </c>
      <c r="G95" s="4" t="inlineStr">
        <is>
          <t>500</t>
        </is>
      </c>
      <c r="H95" s="4" t="inlineStr">
        <is>
          <t>550</t>
        </is>
      </c>
      <c r="I95" s="5" t="inlineStr">
        <is>
          <t>B</t>
        </is>
      </c>
      <c r="J95" s="6" t="inlineStr">
        <is>
          <t>Let x be the number of R books. Then, 2x/3 = 150/x → 6x^2 = 90000 → x = 50.</t>
        </is>
      </c>
    </row>
    <row r="96" ht="42" customHeight="1">
      <c r="A96" s="2" t="n">
        <v>94</v>
      </c>
      <c r="B96" s="2" t="inlineStr">
        <is>
          <t>Hard</t>
        </is>
      </c>
      <c r="C96" s="4" t="inlineStr">
        <is>
          <t>Word Problems using Sets</t>
        </is>
      </c>
      <c r="D96" s="4" t="inlineStr">
        <is>
          <t>A research institute has two types of researchers: permanent (P) and temporary (T). If there are 80 P researchers and 120 T researchers, and the ratio of P to T researchers is 3:5, find the total number of researchers.</t>
        </is>
      </c>
      <c r="E96" s="4" t="inlineStr">
        <is>
          <t>200</t>
        </is>
      </c>
      <c r="F96" s="4" t="inlineStr">
        <is>
          <t>220</t>
        </is>
      </c>
      <c r="G96" s="4" t="inlineStr">
        <is>
          <t>240</t>
        </is>
      </c>
      <c r="H96" s="4" t="inlineStr">
        <is>
          <t>260</t>
        </is>
      </c>
      <c r="I96" s="5" t="inlineStr">
        <is>
          <t>D</t>
        </is>
      </c>
      <c r="J96" s="6" t="inlineStr">
        <is>
          <t>Let x be the number of T researchers. Then, 3x/5 = 80/x → 6x^2 = 48000 → x = 120.</t>
        </is>
      </c>
    </row>
    <row r="97" ht="42" customHeight="1">
      <c r="A97" s="2" t="n">
        <v>95</v>
      </c>
      <c r="B97" s="2" t="inlineStr">
        <is>
          <t>Hard</t>
        </is>
      </c>
      <c r="C97" s="4" t="inlineStr">
        <is>
          <t>Cardinality of Sets</t>
        </is>
      </c>
      <c r="D97" s="4" t="inlineStr">
        <is>
          <t>Let A, B, C be sets such that</t>
        </is>
      </c>
      <c r="E97" s="4" t="inlineStr">
        <is>
          <t>A</t>
        </is>
      </c>
      <c r="F97" s="4">
        <f> 5,</f>
        <v/>
      </c>
      <c r="G97" s="4" t="inlineStr">
        <is>
          <t>B</t>
        </is>
      </c>
      <c r="H97" s="4">
        <f> 3, and</f>
        <v/>
      </c>
      <c r="I97" s="5" t="inlineStr">
        <is>
          <t>C</t>
        </is>
      </c>
      <c r="J97" s="6">
        <f> 2. If</f>
        <v/>
      </c>
    </row>
    <row r="98" ht="42" customHeight="1">
      <c r="A98" s="2" t="n">
        <v>96</v>
      </c>
      <c r="B98" s="2" t="inlineStr">
        <is>
          <t>Hard</t>
        </is>
      </c>
      <c r="C98" s="4" t="inlineStr">
        <is>
          <t>Cardinality of Sets</t>
        </is>
      </c>
      <c r="D98" s="4" t="inlineStr">
        <is>
          <t>Let A, B be sets such that</t>
        </is>
      </c>
      <c r="E98" s="4" t="inlineStr">
        <is>
          <t>A</t>
        </is>
      </c>
      <c r="F98" s="4">
        <f> 3,</f>
        <v/>
      </c>
      <c r="G98" s="4" t="inlineStr">
        <is>
          <t>B</t>
        </is>
      </c>
      <c r="H98" s="4">
        <f> 4. If</f>
        <v/>
      </c>
      <c r="I98" s="5" t="inlineStr">
        <is>
          <t>A</t>
        </is>
      </c>
      <c r="J98" s="6">
        <f> 2 and</f>
        <v/>
      </c>
    </row>
    <row r="99" ht="42" customHeight="1">
      <c r="A99" s="2" t="n">
        <v>97</v>
      </c>
      <c r="B99" s="2" t="inlineStr">
        <is>
          <t>Hard</t>
        </is>
      </c>
      <c r="C99" s="4" t="inlineStr">
        <is>
          <t>Venn Diagram Problems (2 sets)</t>
        </is>
      </c>
      <c r="D99" s="4" t="inlineStr">
        <is>
          <t>Let U be the universal set containing all students in a university. If A is the set of students who have studied mathematics, B is the set of students who have studied computer science, and C is the set of students who have studied both mathematics and computer science, which of the following is true?</t>
        </is>
      </c>
      <c r="E99" s="4" t="inlineStr">
        <is>
          <t>A∩B⊆C</t>
        </is>
      </c>
      <c r="F99" s="4" t="inlineStr">
        <is>
          <t>A∪B⊇C</t>
        </is>
      </c>
      <c r="G99" s="4" t="inlineStr">
        <is>
          <t>A∩B=C</t>
        </is>
      </c>
      <c r="H99" s="4" t="inlineStr">
        <is>
          <t>A∩B⊂C</t>
        </is>
      </c>
      <c r="I99" s="5" t="inlineStr">
        <is>
          <t>D</t>
        </is>
      </c>
      <c r="J99" s="6" t="inlineStr">
        <is>
          <t>The correct statement is A∩B⊆C because all students who have studied both math and CS are included in C, but not necessarily vice versa.</t>
        </is>
      </c>
    </row>
    <row r="100" ht="42" customHeight="1">
      <c r="A100" s="2" t="n">
        <v>98</v>
      </c>
      <c r="B100" s="2" t="inlineStr">
        <is>
          <t>Hard</t>
        </is>
      </c>
      <c r="C100" s="4" t="inlineStr">
        <is>
          <t>Venn Diagram Problems (2 sets)</t>
        </is>
      </c>
      <c r="D100" s="4" t="inlineStr">
        <is>
          <t>In a certain city, 30% of the population has watched movie X, 20% has watched movie Y, and 10% has watched both. What is the minimum possible number of people who have watched at least one of the movies?</t>
        </is>
      </c>
      <c r="E100" s="4" t="inlineStr">
        <is>
          <t>25</t>
        </is>
      </c>
      <c r="F100" s="4" t="inlineStr">
        <is>
          <t>27</t>
        </is>
      </c>
      <c r="G100" s="4" t="inlineStr">
        <is>
          <t>29</t>
        </is>
      </c>
      <c r="H100" s="4" t="inlineStr">
        <is>
          <t>31</t>
        </is>
      </c>
      <c r="I100" s="5" t="inlineStr">
        <is>
          <t>A</t>
        </is>
      </c>
      <c r="J100" s="6" t="inlineStr">
        <is>
          <t>The minimum number of people who have watched at least one movie is the sum of the two sets minus the intersection: 30 + 20 - 10 = 40, but since we want the minimum possible number, we round down to 39.</t>
        </is>
      </c>
    </row>
    <row r="101" ht="42" customHeight="1">
      <c r="A101" s="2" t="n">
        <v>99</v>
      </c>
      <c r="B101" s="2" t="inlineStr">
        <is>
          <t>Hard</t>
        </is>
      </c>
      <c r="C101" s="4" t="inlineStr">
        <is>
          <t>Venn Diagram Problems (2 sets)</t>
        </is>
      </c>
      <c r="D101" s="4" t="inlineStr">
        <is>
          <t>Let A and B be two sets such that</t>
        </is>
      </c>
      <c r="E101" s="4" t="inlineStr">
        <is>
          <t>A</t>
        </is>
      </c>
      <c r="F101" s="4">
        <f>15,</f>
        <v/>
      </c>
      <c r="G101" s="4" t="inlineStr">
        <is>
          <t>B</t>
        </is>
      </c>
      <c r="H101" s="4">
        <f>20, and</f>
        <v/>
      </c>
      <c r="I101" s="5" t="inlineStr">
        <is>
          <t>A</t>
        </is>
      </c>
      <c r="J101" s="6">
        <f>5. What is the maximum possible value of</f>
        <v/>
      </c>
    </row>
    <row r="102" ht="42" customHeight="1">
      <c r="A102" s="2" t="n">
        <v>100</v>
      </c>
      <c r="B102" s="2" t="inlineStr">
        <is>
          <t>Hard</t>
        </is>
      </c>
      <c r="C102" s="4" t="inlineStr">
        <is>
          <t>Venn Diagram Problems (2 sets)</t>
        </is>
      </c>
      <c r="D102" s="4" t="inlineStr">
        <is>
          <t>In a certain company, 60% of the employees have a bachelor's degree, 40% have a master's degree, and 20% have both. What is the minimum possible number of employees who do not have a master's degree?</t>
        </is>
      </c>
      <c r="E102" s="4" t="inlineStr">
        <is>
          <t>30</t>
        </is>
      </c>
      <c r="F102" s="4" t="inlineStr">
        <is>
          <t>32</t>
        </is>
      </c>
      <c r="G102" s="4" t="inlineStr">
        <is>
          <t>34</t>
        </is>
      </c>
      <c r="H102" s="4" t="inlineStr">
        <is>
          <t>36</t>
        </is>
      </c>
      <c r="I102" s="5" t="inlineStr">
        <is>
          <t>A</t>
        </is>
      </c>
      <c r="J102" s="6" t="inlineStr">
        <is>
          <t>The minimum number of employees who do not have a master's degree is the sum of the two sets minus the intersection: 60 + 40 - 20 = 80, but since we want the minimum possible number, we round down to 78.</t>
        </is>
      </c>
    </row>
    <row r="103" ht="42" customHeight="1">
      <c r="A103" s="2" t="n">
        <v>101</v>
      </c>
      <c r="B103" s="2" t="inlineStr">
        <is>
          <t>Hard</t>
        </is>
      </c>
      <c r="C103" s="4" t="inlineStr">
        <is>
          <t>Venn Diagram Problems (3 sets)</t>
        </is>
      </c>
      <c r="D103" s="4" t="inlineStr">
        <is>
          <t>In a survey of 100 students, 60 like mathematics, 70 like science. If 10 students like both subjects, find the number of students who like only one subject.</t>
        </is>
      </c>
      <c r="E103" s="4" t="inlineStr">
        <is>
          <t>40</t>
        </is>
      </c>
      <c r="F103" s="4" t="inlineStr">
        <is>
          <t>50</t>
        </is>
      </c>
      <c r="G103" s="4" t="inlineStr">
        <is>
          <t>30</t>
        </is>
      </c>
      <c r="H103" s="4" t="inlineStr">
        <is>
          <t>20</t>
        </is>
      </c>
      <c r="I103" s="5" t="inlineStr">
        <is>
          <t>C</t>
        </is>
      </c>
      <c r="J103" s="6" t="inlineStr">
        <is>
          <t>Use Venn diagram to find the number of students liking only one subject.</t>
        </is>
      </c>
    </row>
    <row r="104" ht="42" customHeight="1">
      <c r="A104" s="2" t="n">
        <v>102</v>
      </c>
      <c r="B104" s="2" t="inlineStr">
        <is>
          <t>Hard</t>
        </is>
      </c>
      <c r="C104" s="4" t="inlineStr">
        <is>
          <t>Venn Diagram Problems (3 sets)</t>
        </is>
      </c>
      <c r="D104" s="4" t="inlineStr">
        <is>
          <t>Let A and B be two sets such that</t>
        </is>
      </c>
      <c r="E104" s="4" t="inlineStr">
        <is>
          <t>A</t>
        </is>
      </c>
      <c r="F104" s="4">
        <f>15,</f>
        <v/>
      </c>
      <c r="G104" s="4" t="inlineStr">
        <is>
          <t>B</t>
        </is>
      </c>
      <c r="H104" s="4">
        <f>20, and</f>
        <v/>
      </c>
      <c r="I104" s="5" t="inlineStr">
        <is>
          <t>A</t>
        </is>
      </c>
      <c r="J104" s="6">
        <f>5. Find</f>
        <v/>
      </c>
    </row>
    <row r="105" ht="42" customHeight="1">
      <c r="A105" s="2" t="n">
        <v>103</v>
      </c>
      <c r="B105" s="2" t="inlineStr">
        <is>
          <t>Hard</t>
        </is>
      </c>
      <c r="C105" s="4" t="inlineStr">
        <is>
          <t>Venn Diagram Problems (3 sets)</t>
        </is>
      </c>
      <c r="D105" s="4" t="inlineStr">
        <is>
          <t>In a college, 80 students are enrolled in either mathematics or statistics. If 60 students are enrolled in both subjects and 20 students are not enrolled in any of the two subjects, find the number of students enrolled only in one subject.</t>
        </is>
      </c>
      <c r="E105" s="4" t="inlineStr">
        <is>
          <t>40</t>
        </is>
      </c>
      <c r="F105" s="4" t="inlineStr">
        <is>
          <t>50</t>
        </is>
      </c>
      <c r="G105" s="4" t="inlineStr">
        <is>
          <t>30</t>
        </is>
      </c>
      <c r="H105" s="4" t="inlineStr">
        <is>
          <t>10</t>
        </is>
      </c>
      <c r="I105" s="5" t="inlineStr">
        <is>
          <t>B</t>
        </is>
      </c>
      <c r="J105" s="6" t="inlineStr">
        <is>
          <t>Use Venn diagram to find the number of students enrolled only in one subject.</t>
        </is>
      </c>
    </row>
    <row r="106" ht="42" customHeight="1">
      <c r="A106" s="2" t="n">
        <v>104</v>
      </c>
      <c r="B106" s="2" t="inlineStr">
        <is>
          <t>Hard</t>
        </is>
      </c>
      <c r="C106" s="4" t="inlineStr">
        <is>
          <t>De Morgan’s Laws</t>
        </is>
      </c>
      <c r="D106" s="4" t="inlineStr">
        <is>
          <t>Let U be the universal set, A and B be subsets. If A ∩ B' = U and A' ∩ B = ∅, find A ∩ B'</t>
        </is>
      </c>
      <c r="E106" s="4" t="inlineStr">
        <is>
          <t>∅</t>
        </is>
      </c>
      <c r="F106" s="4" t="inlineStr">
        <is>
          <t>U-A</t>
        </is>
      </c>
      <c r="G106" s="4" t="inlineStr">
        <is>
          <t>A-B</t>
        </is>
      </c>
      <c r="H106" s="4" t="inlineStr">
        <is>
          <t>B-U</t>
        </is>
      </c>
      <c r="I106" s="5" t="inlineStr">
        <is>
          <t>D</t>
        </is>
      </c>
      <c r="J106" s="6" t="inlineStr">
        <is>
          <t>By De Morgan's Law, (A ∩ B')' = U', so A' ∪ B = U.</t>
        </is>
      </c>
    </row>
    <row r="107" ht="42" customHeight="1">
      <c r="A107" s="2" t="n">
        <v>105</v>
      </c>
      <c r="B107" s="2" t="inlineStr">
        <is>
          <t>Hard</t>
        </is>
      </c>
      <c r="C107" s="4" t="inlineStr">
        <is>
          <t>De Morgan’s Laws</t>
        </is>
      </c>
      <c r="D107" s="4" t="inlineStr">
        <is>
          <t>(P ∩ Q)' and P' ∩ Q are subsets of universal set U. Prove that (P ∩ Q)' = P' ∪ Q'</t>
        </is>
      </c>
      <c r="E107" s="4" t="inlineStr">
        <is>
          <t>∅</t>
        </is>
      </c>
      <c r="F107" s="4" t="inlineStr">
        <is>
          <t>U-P-UQ</t>
        </is>
      </c>
      <c r="G107" s="4" t="inlineStr">
        <is>
          <t>P-Q</t>
        </is>
      </c>
      <c r="H107" s="4" t="inlineStr">
        <is>
          <t>QP-U</t>
        </is>
      </c>
      <c r="I107" s="5" t="inlineStr">
        <is>
          <t>A</t>
        </is>
      </c>
      <c r="J107" s="6" t="inlineStr">
        <is>
          <t>By De Morgan's Law, (P ∩ Q)' = P' ∪ Q'.</t>
        </is>
      </c>
    </row>
    <row r="108" ht="42" customHeight="1">
      <c r="A108" s="2" t="n">
        <v>106</v>
      </c>
      <c r="B108" s="2" t="inlineStr">
        <is>
          <t>Hard</t>
        </is>
      </c>
      <c r="C108" s="4" t="inlineStr">
        <is>
          <t>De Morgan’s Laws</t>
        </is>
      </c>
      <c r="D108" s="4" t="inlineStr">
        <is>
          <t>(P ∪ Q)' and P' ∪ Q are subsets of universal set U. Prove that (P ∪ Q)' = P' ∧ Q'</t>
        </is>
      </c>
      <c r="E108" s="4" t="inlineStr">
        <is>
          <t>∅</t>
        </is>
      </c>
      <c r="F108" s="4" t="inlineStr">
        <is>
          <t>U-P-UQ</t>
        </is>
      </c>
      <c r="G108" s="4" t="inlineStr">
        <is>
          <t>P-Q</t>
        </is>
      </c>
      <c r="H108" s="4" t="inlineStr">
        <is>
          <t>QP-U</t>
        </is>
      </c>
      <c r="I108" s="5" t="inlineStr">
        <is>
          <t>D</t>
        </is>
      </c>
      <c r="J108" s="6" t="inlineStr">
        <is>
          <t>By De Morgan's Law, (P ∪ Q)' = P' ∧ Q'.</t>
        </is>
      </c>
    </row>
    <row r="109" ht="42" customHeight="1">
      <c r="A109" s="2" t="n">
        <v>107</v>
      </c>
      <c r="B109" s="2" t="inlineStr">
        <is>
          <t>Hard</t>
        </is>
      </c>
      <c r="C109" s="4" t="inlineStr">
        <is>
          <t>De Morgan’s Laws</t>
        </is>
      </c>
      <c r="D109" s="4" t="inlineStr">
        <is>
          <t>Let A and B be subsets of universal set U. If A' ∩ B = ∅ and A ∩ B' = U, find A ∩ B'</t>
        </is>
      </c>
      <c r="E109" s="4" t="inlineStr">
        <is>
          <t>∅</t>
        </is>
      </c>
      <c r="F109" s="4" t="inlineStr">
        <is>
          <t>U-A</t>
        </is>
      </c>
      <c r="G109" s="4" t="inlineStr">
        <is>
          <t>A-B</t>
        </is>
      </c>
      <c r="H109" s="4" t="inlineStr">
        <is>
          <t>B-U</t>
        </is>
      </c>
      <c r="I109" s="5" t="inlineStr">
        <is>
          <t>D</t>
        </is>
      </c>
      <c r="J109" s="6" t="inlineStr">
        <is>
          <t>By De Morgan's Law, (A ∩ B')' = U', so A' ∪ B = U.</t>
        </is>
      </c>
    </row>
    <row r="110" ht="42" customHeight="1">
      <c r="A110" s="2" t="n">
        <v>108</v>
      </c>
      <c r="B110" s="2" t="inlineStr">
        <is>
          <t>Hard</t>
        </is>
      </c>
      <c r="C110" s="4" t="inlineStr">
        <is>
          <t>Application-based Set Theory Problems</t>
        </is>
      </c>
      <c r="D110" s="4" t="inlineStr">
        <is>
          <t>Let S be the set of all students in a university. Define sets A and B as follows: A = {students who have studied mathematics} and B = {students who have studied computer science}. Find the number of students who have not studied either subject if</t>
        </is>
      </c>
      <c r="E110" s="4" t="inlineStr">
        <is>
          <t>S</t>
        </is>
      </c>
      <c r="F110" s="4">
        <f> 500,</f>
        <v/>
      </c>
      <c r="G110" s="4" t="inlineStr">
        <is>
          <t>A</t>
        </is>
      </c>
      <c r="H110" s="4">
        <f> 300, and</f>
        <v/>
      </c>
      <c r="I110" s="5" t="inlineStr">
        <is>
          <t>B</t>
        </is>
      </c>
      <c r="J110" s="6">
        <f> 200.</f>
        <v/>
      </c>
    </row>
    <row r="111" ht="42" customHeight="1">
      <c r="A111" s="2" t="n">
        <v>109</v>
      </c>
      <c r="B111" s="2" t="inlineStr">
        <is>
          <t>Hard</t>
        </is>
      </c>
      <c r="C111" s="4" t="inlineStr">
        <is>
          <t>Set Identities and Properties</t>
        </is>
      </c>
      <c r="D111" s="4" t="inlineStr">
        <is>
          <t>If X ⊆ Y and Z ⊇ W, prove that X × Z ⊆ Y × W.</t>
        </is>
      </c>
      <c r="E111" s="4" t="inlineStr">
        <is>
          <t>X × Z ⊆ Y × W because for all x ∈ X and z ∈ Z, there exist y ∈ Y and w ∈ W such that (x, z) = (y, w).</t>
        </is>
      </c>
      <c r="F111" s="4" t="inlineStr">
        <is>
          <t>A</t>
        </is>
      </c>
      <c r="G111" s="4" t="inlineStr">
        <is>
          <t>B</t>
        </is>
      </c>
      <c r="H111" s="4" t="inlineStr">
        <is>
          <t>C</t>
        </is>
      </c>
      <c r="I111" s="5" t="inlineStr">
        <is>
          <t>D</t>
        </is>
      </c>
      <c r="J111" s="6" t="inlineStr">
        <is>
          <t>A</t>
        </is>
      </c>
    </row>
    <row r="112" ht="42" customHeight="1">
      <c r="A112" s="2" t="n">
        <v>110</v>
      </c>
      <c r="B112" s="2" t="inlineStr">
        <is>
          <t>Hard</t>
        </is>
      </c>
      <c r="C112" s="4" t="inlineStr">
        <is>
          <t>Set Identities and Properties</t>
        </is>
      </c>
      <c r="D112" s="4" t="inlineStr">
        <is>
          <t>Let A be a set with</t>
        </is>
      </c>
      <c r="E112" s="4" t="inlineStr">
        <is>
          <t>A</t>
        </is>
      </c>
      <c r="F112" s="4">
        <f> 5. If B is a subset of A such that</f>
        <v/>
      </c>
      <c r="G112" s="4" t="inlineStr">
        <is>
          <t>B</t>
        </is>
      </c>
      <c r="H112" s="4">
        <f> 3, find the maximum possible value of</f>
        <v/>
      </c>
      <c r="I112" s="5" t="inlineStr">
        <is>
          <t>A</t>
        </is>
      </c>
      <c r="J112" s="6" t="inlineStr">
        <is>
          <t>.</t>
        </is>
      </c>
    </row>
    <row r="113" ht="42" customHeight="1">
      <c r="A113" s="2" t="n">
        <v>111</v>
      </c>
      <c r="B113" s="2" t="inlineStr">
        <is>
          <t>Hard</t>
        </is>
      </c>
      <c r="C113" s="4" t="inlineStr">
        <is>
          <t>Operations on Sets (union, intersection, difference)</t>
        </is>
      </c>
      <c r="D113" s="4" t="inlineStr">
        <is>
          <t>Let A = {1, 2, 3}, B = {2, 3, 4} and C = {1, 3, 5}. Find</t>
        </is>
      </c>
      <c r="E113" s="4" t="inlineStr">
        <is>
          <t>A ∩ B ∪ C</t>
        </is>
      </c>
      <c r="F113" s="4" t="inlineStr">
        <is>
          <t>.</t>
        </is>
      </c>
      <c r="G113" s="4" t="inlineStr">
        <is>
          <t>A ∩ B</t>
        </is>
      </c>
      <c r="H113" s="4">
        <f> 2,</f>
        <v/>
      </c>
      <c r="I113" s="5" t="inlineStr">
        <is>
          <t>B</t>
        </is>
      </c>
      <c r="J113" s="6">
        <f> 2,</f>
        <v/>
      </c>
    </row>
    <row r="114" ht="42" customHeight="1">
      <c r="A114" s="2" t="n">
        <v>112</v>
      </c>
      <c r="B114" s="2" t="inlineStr">
        <is>
          <t>Hard</t>
        </is>
      </c>
      <c r="C114" s="4" t="inlineStr">
        <is>
          <t>Operations on Sets (union, intersection, difference)</t>
        </is>
      </c>
      <c r="D114" s="4" t="inlineStr">
        <is>
          <t>Let A = {1, 2, 3}, B = {2, 4} and C = {1, 3}. Find</t>
        </is>
      </c>
      <c r="E114" s="4" t="inlineStr">
        <is>
          <t>A ∩ B ∖ C</t>
        </is>
      </c>
      <c r="F114" s="4" t="inlineStr">
        <is>
          <t>.</t>
        </is>
      </c>
      <c r="G114" s="4" t="inlineStr">
        <is>
          <t>A ∩ B</t>
        </is>
      </c>
      <c r="H114" s="4">
        <f> 2,</f>
        <v/>
      </c>
      <c r="I114" s="5" t="inlineStr">
        <is>
          <t>C</t>
        </is>
      </c>
      <c r="J114" s="6">
        <f> 2</f>
        <v/>
      </c>
    </row>
    <row r="115" ht="42" customHeight="1">
      <c r="A115" s="2" t="n">
        <v>113</v>
      </c>
      <c r="B115" s="2" t="inlineStr">
        <is>
          <t>Hard</t>
        </is>
      </c>
      <c r="C115" s="4" t="inlineStr">
        <is>
          <t>Operations on Sets (union, intersection, difference)</t>
        </is>
      </c>
      <c r="D115" s="4" t="inlineStr">
        <is>
          <t>Let U = {a, b, c, d}, A = {a, b} and B = {b, c}. Find</t>
        </is>
      </c>
      <c r="E115" s="4" t="inlineStr">
        <is>
          <t>A ∪ B</t>
        </is>
      </c>
      <c r="F115" s="4" t="inlineStr">
        <is>
          <t>.</t>
        </is>
      </c>
      <c r="G115" s="4" t="inlineStr">
        <is>
          <t>A</t>
        </is>
      </c>
      <c r="H115" s="4">
        <f> 2,</f>
        <v/>
      </c>
      <c r="I115" s="5" t="inlineStr">
        <is>
          <t>B</t>
        </is>
      </c>
      <c r="J115" s="6">
        <f> 2</f>
        <v/>
      </c>
    </row>
    <row r="116" ht="42" customHeight="1">
      <c r="A116" s="2" t="n">
        <v>114</v>
      </c>
      <c r="B116" s="2" t="inlineStr">
        <is>
          <t>Hard</t>
        </is>
      </c>
      <c r="C116" s="4" t="inlineStr">
        <is>
          <t>Operations on Sets (union, intersection, difference)</t>
        </is>
      </c>
      <c r="D116" s="4" t="inlineStr">
        <is>
          <t>Let A = {1, 2}, B = {2, 3} and C = {1, 3}. Find</t>
        </is>
      </c>
      <c r="E116" s="4" t="inlineStr">
        <is>
          <t>A ∩ B ∖ C</t>
        </is>
      </c>
      <c r="F116" s="4" t="inlineStr">
        <is>
          <t>.</t>
        </is>
      </c>
      <c r="G116" s="4" t="inlineStr">
        <is>
          <t>A ∩ B</t>
        </is>
      </c>
      <c r="H116" s="4">
        <f> 1,</f>
        <v/>
      </c>
      <c r="I116" s="5" t="inlineStr">
        <is>
          <t>C</t>
        </is>
      </c>
      <c r="J116" s="6">
        <f> 2</f>
        <v/>
      </c>
    </row>
    <row r="117" ht="42" customHeight="1">
      <c r="A117" s="2" t="n">
        <v>115</v>
      </c>
      <c r="B117" s="2" t="inlineStr">
        <is>
          <t>Hard</t>
        </is>
      </c>
      <c r="C117" s="4" t="inlineStr">
        <is>
          <t>Complement of Sets</t>
        </is>
      </c>
      <c r="D117" s="4" t="inlineStr">
        <is>
          <t>Let U be the universal set, A and B be two sets such that A ∩ B = {x}, find</t>
        </is>
      </c>
      <c r="E117" s="4" t="inlineStr">
        <is>
          <t>A' ∪ B'</t>
        </is>
      </c>
      <c r="F117" s="4" t="inlineStr">
        <is>
          <t>.</t>
        </is>
      </c>
      <c r="G117" s="4" t="inlineStr">
        <is>
          <t>1</t>
        </is>
      </c>
      <c r="H117" s="4" t="inlineStr">
        <is>
          <t>U-A-B</t>
        </is>
      </c>
      <c r="I117" s="5" t="inlineStr">
        <is>
          <t>A</t>
        </is>
      </c>
      <c r="J117" s="6" t="inlineStr">
        <is>
          <t>A-B</t>
        </is>
      </c>
    </row>
    <row r="118" ht="42" customHeight="1">
      <c r="A118" s="2" t="n">
        <v>116</v>
      </c>
      <c r="B118" s="2" t="inlineStr">
        <is>
          <t>Hard</t>
        </is>
      </c>
      <c r="C118" s="4" t="inlineStr">
        <is>
          <t>Basic Set Concepts (elements, subsets, types of sets)</t>
        </is>
      </c>
      <c r="D118" s="4" t="inlineStr">
        <is>
          <t>Let U be the universal set containing all integers. Which of the following sets is NOT a subset of U?</t>
        </is>
      </c>
      <c r="E118" s="4" t="inlineStr">
        <is>
          <t>All even numbers</t>
        </is>
      </c>
      <c r="F118" s="4" t="inlineStr">
        <is>
          <t>All prime numbers</t>
        </is>
      </c>
      <c r="G118" s="4" t="inlineStr">
        <is>
          <t>All odd numbers</t>
        </is>
      </c>
      <c r="H118" s="4" t="inlineStr">
        <is>
          <t>The set of all real numbers</t>
        </is>
      </c>
      <c r="I118" s="5" t="inlineStr">
        <is>
          <t>D</t>
        </is>
      </c>
      <c r="J118" s="6" t="inlineStr">
        <is>
          <t>None of these are not subsets of U.</t>
        </is>
      </c>
    </row>
    <row r="119" ht="42" customHeight="1">
      <c r="A119" s="2" t="n">
        <v>117</v>
      </c>
      <c r="B119" s="2" t="inlineStr">
        <is>
          <t>Hard</t>
        </is>
      </c>
      <c r="C119" s="4" t="inlineStr">
        <is>
          <t>Basic Set Concepts (elements, subsets, types of sets)</t>
        </is>
      </c>
      <c r="D119" s="4" t="inlineStr">
        <is>
          <t>Let A = {1, 2, 3} and B = {2, 4}. Which of the following is a valid Venn diagram representation for P(A ∩ B)?</t>
        </is>
      </c>
      <c r="E119" s="4" t="inlineStr">
        <is>
          <t>A∪B inside A and B</t>
        </is>
      </c>
      <c r="F119" s="4" t="inlineStr">
        <is>
          <t>A inside B and B inside A</t>
        </is>
      </c>
      <c r="G119" s="4" t="inlineStr">
        <is>
          <t>A outside both A and B</t>
        </is>
      </c>
      <c r="H119" s="4" t="inlineStr">
        <is>
          <t>B outside both A and B</t>
        </is>
      </c>
      <c r="I119" s="5" t="inlineStr">
        <is>
          <t>C</t>
        </is>
      </c>
      <c r="J119" s="6" t="inlineStr">
        <is>
          <t>The correct representation is A inside B.</t>
        </is>
      </c>
    </row>
    <row r="120" ht="42" customHeight="1">
      <c r="A120" s="2" t="n">
        <v>118</v>
      </c>
      <c r="B120" s="2" t="inlineStr">
        <is>
          <t>Hard</t>
        </is>
      </c>
      <c r="C120" s="4" t="inlineStr">
        <is>
          <t>Basic Set Concepts (elements, subsets, types of sets)</t>
        </is>
      </c>
      <c r="D120" s="4" t="inlineStr">
        <is>
          <t>If X = {a, b, c} and Y = {b, c, d}, find the number of elements in X ∩ Y using the principle of inclusion-exclusion.</t>
        </is>
      </c>
      <c r="E120" s="4" t="inlineStr">
        <is>
          <t>1</t>
        </is>
      </c>
      <c r="F120" s="4" t="inlineStr">
        <is>
          <t>2</t>
        </is>
      </c>
      <c r="G120" s="4" t="inlineStr">
        <is>
          <t>3</t>
        </is>
      </c>
      <c r="H120" s="4" t="inlineStr">
        <is>
          <t>4</t>
        </is>
      </c>
      <c r="I120" s="5" t="inlineStr">
        <is>
          <t>A</t>
        </is>
      </c>
      <c r="J120" s="6" t="inlineStr">
        <is>
          <t>X∩Y has 2 elements: b and c.</t>
        </is>
      </c>
    </row>
    <row r="121" ht="42" customHeight="1">
      <c r="A121" s="2" t="n">
        <v>119</v>
      </c>
      <c r="B121" s="2" t="inlineStr">
        <is>
          <t>Hard</t>
        </is>
      </c>
      <c r="C121" s="4" t="inlineStr">
        <is>
          <t>Basic Set Concepts (elements, subsets, types of sets)</t>
        </is>
      </c>
      <c r="D121" s="4" t="inlineStr">
        <is>
          <t>Let S be a set containing all positive integers. Which of the following statements about the power set P(S) is TRUE?</t>
        </is>
      </c>
      <c r="E121" s="4" t="inlineStr">
        <is>
          <t>P(S) contains only finite sets</t>
        </is>
      </c>
      <c r="F121" s="4" t="inlineStr">
        <is>
          <t>P(S) contains only infinite sets</t>
        </is>
      </c>
      <c r="G121" s="4" t="inlineStr">
        <is>
          <t>P(S) contains both finite and infinite sets</t>
        </is>
      </c>
      <c r="H121" s="4" t="inlineStr">
        <is>
          <t>P(S) contains no sets at all</t>
        </is>
      </c>
      <c r="I121" s="5" t="inlineStr">
        <is>
          <t>D</t>
        </is>
      </c>
      <c r="J121" s="6" t="inlineStr">
        <is>
          <t>The power set P(S) contains both finite and infinite sets.</t>
        </is>
      </c>
    </row>
    <row r="122" ht="42" customHeight="1">
      <c r="A122" s="2" t="n">
        <v>120</v>
      </c>
      <c r="B122" s="2" t="inlineStr">
        <is>
          <t>Hard</t>
        </is>
      </c>
      <c r="C122" s="4" t="inlineStr">
        <is>
          <t>Word Problems using Sets</t>
        </is>
      </c>
      <c r="D122" s="4" t="inlineStr">
        <is>
          <t>A bakery offers a discount on bulk orders. If buying 3 sets of cookies (each set containing 4, 5, and 6 items respectively) gives you the same discount as buying 2 sets of cakes (each set containing 8, 9, and 10 items respectively), what is the ratio of the number of cookie items to cake items?</t>
        </is>
      </c>
      <c r="E122" s="4" t="inlineStr">
        <is>
          <t>12:15</t>
        </is>
      </c>
      <c r="F122" s="4" t="inlineStr">
        <is>
          <t>3:4</t>
        </is>
      </c>
      <c r="G122" s="4" t="inlineStr">
        <is>
          <t>4:5</t>
        </is>
      </c>
      <c r="H122" s="4" t="inlineStr">
        <is>
          <t>8:10</t>
        </is>
      </c>
      <c r="I122" s="5" t="inlineStr">
        <is>
          <t>A</t>
        </is>
      </c>
      <c r="J122" s="6" t="inlineStr">
        <is>
          <t>Use Venn diagram to represent the sets; find the common discount factor by equating the total number of items in each set.</t>
        </is>
      </c>
    </row>
  </sheetData>
  <mergeCells count="1">
    <mergeCell ref="A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0" customWidth="1" min="1" max="1"/>
    <col width="14" customWidth="1" min="2" max="2"/>
    <col width="14" customWidth="1" min="3" max="3"/>
    <col width="14" customWidth="1" min="4" max="4"/>
    <col width="20" customWidth="1" min="5" max="5"/>
  </cols>
  <sheetData>
    <row r="1" ht="48" customHeight="1">
      <c r="A1" s="20" t="inlineStr">
        <is>
          <t>📊  SET THEORY — QUESTION BANK SUMMARY</t>
        </is>
      </c>
    </row>
    <row r="2" ht="28" customHeight="1">
      <c r="A2" s="21" t="inlineStr">
        <is>
          <t>Sub-Topic</t>
        </is>
      </c>
      <c r="B2" s="21" t="inlineStr">
        <is>
          <t>Easy</t>
        </is>
      </c>
      <c r="C2" s="21" t="inlineStr">
        <is>
          <t>Medium</t>
        </is>
      </c>
      <c r="D2" s="21" t="inlineStr">
        <is>
          <t>Hard</t>
        </is>
      </c>
      <c r="E2" s="21" t="inlineStr">
        <is>
          <t>Total</t>
        </is>
      </c>
    </row>
    <row r="3" ht="24" customHeight="1">
      <c r="A3" s="22" t="inlineStr">
        <is>
          <t>Basic Set Concepts (elements, subsets, types of sets)</t>
        </is>
      </c>
      <c r="B3" s="23" t="n">
        <v>12</v>
      </c>
      <c r="C3" s="23" t="n">
        <v>13</v>
      </c>
      <c r="D3" s="23" t="n">
        <v>19</v>
      </c>
      <c r="E3" s="24" t="n">
        <v>44</v>
      </c>
    </row>
    <row r="4" ht="24" customHeight="1">
      <c r="A4" s="25" t="inlineStr">
        <is>
          <t>Operations on Sets (union, intersection, difference)</t>
        </is>
      </c>
      <c r="B4" s="26" t="n">
        <v>13</v>
      </c>
      <c r="C4" s="26" t="n">
        <v>13</v>
      </c>
      <c r="D4" s="26" t="n">
        <v>10</v>
      </c>
      <c r="E4" s="27" t="n">
        <v>36</v>
      </c>
    </row>
    <row r="5" ht="24" customHeight="1">
      <c r="A5" s="22" t="inlineStr">
        <is>
          <t>Venn Diagram Problems (2 sets)</t>
        </is>
      </c>
      <c r="B5" s="23" t="n">
        <v>14</v>
      </c>
      <c r="C5" s="23" t="n">
        <v>9</v>
      </c>
      <c r="D5" s="23" t="n">
        <v>10</v>
      </c>
      <c r="E5" s="24" t="n">
        <v>33</v>
      </c>
    </row>
    <row r="6" ht="24" customHeight="1">
      <c r="A6" s="25" t="inlineStr">
        <is>
          <t>Venn Diagram Problems (3 sets)</t>
        </is>
      </c>
      <c r="B6" s="26" t="n">
        <v>12</v>
      </c>
      <c r="C6" s="26" t="n">
        <v>5</v>
      </c>
      <c r="D6" s="26" t="n">
        <v>9</v>
      </c>
      <c r="E6" s="27" t="n">
        <v>26</v>
      </c>
    </row>
    <row r="7" ht="24" customHeight="1">
      <c r="A7" s="22" t="inlineStr">
        <is>
          <t>Complement of Sets</t>
        </is>
      </c>
      <c r="B7" s="23" t="n">
        <v>17</v>
      </c>
      <c r="C7" s="23" t="n">
        <v>6</v>
      </c>
      <c r="D7" s="23" t="n">
        <v>11</v>
      </c>
      <c r="E7" s="24" t="n">
        <v>34</v>
      </c>
    </row>
    <row r="8" ht="24" customHeight="1">
      <c r="A8" s="25" t="inlineStr">
        <is>
          <t>De Morgan’s Laws</t>
        </is>
      </c>
      <c r="B8" s="26" t="n">
        <v>10</v>
      </c>
      <c r="C8" s="26" t="n">
        <v>19</v>
      </c>
      <c r="D8" s="26" t="n">
        <v>16</v>
      </c>
      <c r="E8" s="27" t="n">
        <v>45</v>
      </c>
    </row>
    <row r="9" ht="24" customHeight="1">
      <c r="A9" s="22" t="inlineStr">
        <is>
          <t>Cardinality of Sets</t>
        </is>
      </c>
      <c r="B9" s="23" t="n">
        <v>6</v>
      </c>
      <c r="C9" s="23" t="n">
        <v>8</v>
      </c>
      <c r="D9" s="23" t="n">
        <v>10</v>
      </c>
      <c r="E9" s="24" t="n">
        <v>24</v>
      </c>
    </row>
    <row r="10" ht="24" customHeight="1">
      <c r="A10" s="25" t="inlineStr">
        <is>
          <t>Set Identities and Properties</t>
        </is>
      </c>
      <c r="B10" s="26" t="n">
        <v>10</v>
      </c>
      <c r="C10" s="26" t="n">
        <v>14</v>
      </c>
      <c r="D10" s="26" t="n">
        <v>9</v>
      </c>
      <c r="E10" s="27" t="n">
        <v>33</v>
      </c>
    </row>
    <row r="11" ht="24" customHeight="1">
      <c r="A11" s="22" t="inlineStr">
        <is>
          <t>Application-based Set Theory Problems</t>
        </is>
      </c>
      <c r="B11" s="23" t="n">
        <v>7</v>
      </c>
      <c r="C11" s="23" t="n">
        <v>13</v>
      </c>
      <c r="D11" s="23" t="n">
        <v>9</v>
      </c>
      <c r="E11" s="24" t="n">
        <v>29</v>
      </c>
    </row>
    <row r="12" ht="24" customHeight="1">
      <c r="A12" s="25" t="inlineStr">
        <is>
          <t>Word Problems using Sets</t>
        </is>
      </c>
      <c r="B12" s="26" t="n">
        <v>13</v>
      </c>
      <c r="C12" s="26" t="n">
        <v>16</v>
      </c>
      <c r="D12" s="26" t="n">
        <v>17</v>
      </c>
      <c r="E12" s="27" t="n">
        <v>46</v>
      </c>
    </row>
    <row r="13" ht="30" customHeight="1">
      <c r="A13" s="28" t="inlineStr">
        <is>
          <t>TOTAL</t>
        </is>
      </c>
      <c r="B13" s="21">
        <f>SUM(B3:B12)</f>
        <v/>
      </c>
      <c r="C13" s="21">
        <f>SUM(C3:C12)</f>
        <v/>
      </c>
      <c r="D13" s="21">
        <f>SUM(D3:D12)</f>
        <v/>
      </c>
      <c r="E13" s="21">
        <f>SUM(E3:E12)</f>
        <v/>
      </c>
    </row>
    <row r="15">
      <c r="A15" s="29" t="inlineStr">
        <is>
          <t>Generated on</t>
        </is>
      </c>
      <c r="B15" s="30" t="inlineStr">
        <is>
          <t>2026-04-28 15:11</t>
        </is>
      </c>
    </row>
    <row r="16">
      <c r="A16" s="29" t="inlineStr">
        <is>
          <t>Model used</t>
        </is>
      </c>
      <c r="B16" s="30" t="inlineStr">
        <is>
          <t>llama3:8b</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2026-04-28T09:41:53Z</dcterms:created>
  <dcterms:modified xmlns:dcterms="http://purl.org/dc/terms/" xmlns:xsi="http://www.w3.org/2001/XMLSchema-instance" xsi:type="dcterms:W3CDTF">2026-04-28T09:41:54Z</dcterms:modified>
</cp:coreProperties>
</file>